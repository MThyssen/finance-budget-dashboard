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hi\Downloads\Project 3\"/>
    </mc:Choice>
  </mc:AlternateContent>
  <xr:revisionPtr revIDLastSave="0" documentId="13_ncr:1_{3053C10D-494B-4692-929D-EEBBCF2C78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ial Data" sheetId="6" r:id="rId1"/>
    <sheet name="Pivot - Segment Sales &amp; Budget" sheetId="7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6" l="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</calcChain>
</file>

<file path=xl/sharedStrings.xml><?xml version="1.0" encoding="utf-8"?>
<sst xmlns="http://schemas.openxmlformats.org/spreadsheetml/2006/main" count="4229" uniqueCount="58">
  <si>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</si>
  <si>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</si>
  <si>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</si>
  <si>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</si>
  <si>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</si>
  <si>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</si>
  <si>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</si>
  <si>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</si>
  <si>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</si>
  <si>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</si>
  <si>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</si>
  <si>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</si>
  <si>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</si>
  <si>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</si>
  <si>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</si>
  <si>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</si>
  <si>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</si>
  <si>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</si>
  <si>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</si>
  <si>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</si>
  <si>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</si>
  <si>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</si>
  <si>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</si>
  <si>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</si>
  <si>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</si>
  <si>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</si>
  <si>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</si>
  <si>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</si>
  <si>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</si>
  <si>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</si>
  <si>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</si>
  <si>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</si>
  <si>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</si>
  <si>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</si>
  <si>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</si>
  <si>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</si>
  <si>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</si>
  <si>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</si>
  <si>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</si>
  <si>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</si>
  <si>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</si>
  <si>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</si>
  <si>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</si>
  <si>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</si>
  <si>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</si>
  <si>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</si>
  <si>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</si>
  <si>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</si>
  <si>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</si>
  <si>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Sales</t>
  </si>
  <si>
    <t>Budget</t>
  </si>
  <si>
    <t>Variance</t>
  </si>
  <si>
    <t>Variance %</t>
  </si>
  <si>
    <t>Row Labels</t>
  </si>
  <si>
    <t>Grand Total</t>
  </si>
  <si>
    <t>Sum of Sales</t>
  </si>
  <si>
    <t>Sum of Budget</t>
  </si>
  <si>
    <t>Sum of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</si>
</sst>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as Thyssen" refreshedDate="46197.652624537041" createdVersion="8" refreshedVersion="8" minRefreshableVersion="3" recordCount="700" xr:uid="{49B255B2-56C6-4B14-A32C-AE8AE1C270D1}">
  <cacheSource type="worksheet">
    <worksheetSource name="financials"/>
  </cacheSource>
  <cacheFields count="19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/>
    </cacheField>
    <cacheField name="Product" numFmtId="44">
      <sharedItems/>
    </cacheField>
    <cacheField name="Discount Band" numFmtId="4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44">
      <sharedItems containsSemiMixedTypes="0" containsString="0" containsNumber="1" containsInteger="1" minValue="3" maxValue="260"/>
    </cacheField>
    <cacheField name="Sale Price" numFmtId="44">
      <sharedItems containsSemiMixedTypes="0" containsString="0" containsNumber="1" containsInteger="1" minValue="7" maxValue="350"/>
    </cacheField>
    <cacheField name="Gross Sales" numFmtId="44">
      <sharedItems containsSemiMixedTypes="0" containsString="0" containsNumber="1" minValue="1799" maxValue="1207500"/>
    </cacheField>
    <cacheField name="Discounts" numFmtId="44">
      <sharedItems containsSemiMixedTypes="0" containsString="0" containsNumber="1" minValue="0" maxValue="149677.5"/>
    </cacheField>
    <cacheField name="Sales" numFmtId="44">
      <sharedItems containsSemiMixedTypes="0" containsString="0" containsNumber="1" minValue="1655.08" maxValue="1159200"/>
    </cacheField>
    <cacheField name="COGS" numFmtId="44">
      <sharedItems containsSemiMixedTypes="0" containsString="0" containsNumber="1" minValue="918" maxValue="950625"/>
    </cacheField>
    <cacheField name="Profit" numFmtId="44">
      <sharedItems containsSemiMixedTypes="0" containsString="0" containsNumber="1" minValue="-40617.5" maxValue="262200"/>
    </cacheField>
    <cacheField name="Budget" numFmtId="44">
      <sharedItems containsSemiMixedTypes="0" containsString="0" containsNumber="1" minValue="1470.9589999999998" maxValue="1217160"/>
    </cacheField>
    <cacheField name="Variance" numFmtId="44">
      <sharedItems containsSemiMixedTypes="0" containsString="0" containsNumber="1" minValue="-138153.5399999998" maxValue="121697.94000000006"/>
    </cacheField>
    <cacheField name="Variance %" numFmtId="9">
      <sharedItems containsSemiMixedTypes="0" containsString="0" containsNumber="1" minValue="-0.13043478260869565" maxValue="0.17647058823529427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44">
      <sharedItems/>
    </cacheField>
    <cacheField name="Year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s v="Canada"/>
    <s v="Carretera"/>
    <s v="None"/>
    <n v="1618.5"/>
    <n v="3"/>
    <n v="20"/>
    <n v="32370"/>
    <n v="0"/>
    <n v="32370"/>
    <n v="16185"/>
    <n v="16185"/>
    <n v="36254.400000000001"/>
    <n v="-3884.4000000000015"/>
    <n v="-0.10714285714285718"/>
    <d v="2014-01-01T00:00:00"/>
    <n v="1"/>
    <s v="January"/>
    <s v="2014"/>
  </r>
  <r>
    <x v="0"/>
    <s v="Germany"/>
    <s v="Carretera"/>
    <s v="None"/>
    <n v="1321"/>
    <n v="3"/>
    <n v="20"/>
    <n v="26420"/>
    <n v="0"/>
    <n v="26420"/>
    <n v="13210"/>
    <n v="13210"/>
    <n v="26420"/>
    <n v="0"/>
    <n v="0"/>
    <d v="2014-01-01T00:00:00"/>
    <n v="1"/>
    <s v="January"/>
    <s v="2014"/>
  </r>
  <r>
    <x v="1"/>
    <s v="France"/>
    <s v="Carretera"/>
    <s v="None"/>
    <n v="2178"/>
    <n v="3"/>
    <n v="15"/>
    <n v="32670"/>
    <n v="0"/>
    <n v="32670"/>
    <n v="21780"/>
    <n v="10890"/>
    <n v="29076.3"/>
    <n v="3593.7000000000007"/>
    <n v="0.12359550561797755"/>
    <d v="2014-06-01T00:00:00"/>
    <n v="6"/>
    <s v="June"/>
    <s v="2014"/>
  </r>
  <r>
    <x v="1"/>
    <s v="Germany"/>
    <s v="Carretera"/>
    <s v="None"/>
    <n v="888"/>
    <n v="3"/>
    <n v="15"/>
    <n v="13320"/>
    <n v="0"/>
    <n v="13320"/>
    <n v="8880"/>
    <n v="4440"/>
    <n v="12787.199999999999"/>
    <n v="532.80000000000109"/>
    <n v="4.1666666666666755E-2"/>
    <d v="2014-06-01T00:00:00"/>
    <n v="6"/>
    <s v="June"/>
    <s v="2014"/>
  </r>
  <r>
    <x v="1"/>
    <s v="Mexico"/>
    <s v="Carretera"/>
    <s v="None"/>
    <n v="2470"/>
    <n v="3"/>
    <n v="15"/>
    <n v="37050"/>
    <n v="0"/>
    <n v="37050"/>
    <n v="24700"/>
    <n v="12350"/>
    <n v="37050"/>
    <n v="0"/>
    <n v="0"/>
    <d v="2014-06-01T00:00:00"/>
    <n v="6"/>
    <s v="June"/>
    <s v="2014"/>
  </r>
  <r>
    <x v="0"/>
    <s v="Germany"/>
    <s v="Carretera"/>
    <s v="None"/>
    <n v="1513"/>
    <n v="3"/>
    <n v="350"/>
    <n v="529550"/>
    <n v="0"/>
    <n v="529550"/>
    <n v="393380"/>
    <n v="136170"/>
    <n v="566618.5"/>
    <n v="-37068.5"/>
    <n v="-6.5420560747663545E-2"/>
    <d v="2014-12-01T00:00:00"/>
    <n v="12"/>
    <s v="December"/>
    <s v="2014"/>
  </r>
  <r>
    <x v="1"/>
    <s v="Germany"/>
    <s v="Montana"/>
    <s v="None"/>
    <n v="921"/>
    <n v="5"/>
    <n v="15"/>
    <n v="13815"/>
    <n v="0"/>
    <n v="13815"/>
    <n v="9210"/>
    <n v="4605"/>
    <n v="12571.65"/>
    <n v="1243.3500000000004"/>
    <n v="9.8901098901098938E-2"/>
    <d v="2014-03-01T00:00:00"/>
    <n v="3"/>
    <s v="March"/>
    <s v="2014"/>
  </r>
  <r>
    <x v="2"/>
    <s v="Canada"/>
    <s v="Montana"/>
    <s v="None"/>
    <n v="2518"/>
    <n v="5"/>
    <n v="12"/>
    <n v="30216"/>
    <n v="0"/>
    <n v="30216"/>
    <n v="7554"/>
    <n v="22662"/>
    <n v="26287.919999999998"/>
    <n v="3928.0800000000017"/>
    <n v="0.14942528735632191"/>
    <d v="2014-06-01T00:00:00"/>
    <n v="6"/>
    <s v="June"/>
    <s v="2014"/>
  </r>
  <r>
    <x v="0"/>
    <s v="France"/>
    <s v="Montana"/>
    <s v="None"/>
    <n v="1899"/>
    <n v="5"/>
    <n v="20"/>
    <n v="37980"/>
    <n v="0"/>
    <n v="37980"/>
    <n v="18990"/>
    <n v="18990"/>
    <n v="32662.799999999999"/>
    <n v="5317.2000000000007"/>
    <n v="0.16279069767441864"/>
    <d v="2014-06-01T00:00:00"/>
    <n v="6"/>
    <s v="June"/>
    <s v="2014"/>
  </r>
  <r>
    <x v="2"/>
    <s v="Germany"/>
    <s v="Montana"/>
    <s v="None"/>
    <n v="1545"/>
    <n v="5"/>
    <n v="12"/>
    <n v="18540"/>
    <n v="0"/>
    <n v="18540"/>
    <n v="4635"/>
    <n v="13905"/>
    <n v="20764.800000000003"/>
    <n v="-2224.8000000000029"/>
    <n v="-0.10714285714285726"/>
    <d v="2014-06-01T00:00:00"/>
    <n v="6"/>
    <s v="June"/>
    <s v="2014"/>
  </r>
  <r>
    <x v="1"/>
    <s v="Mexico"/>
    <s v="Montana"/>
    <s v="None"/>
    <n v="2470"/>
    <n v="5"/>
    <n v="15"/>
    <n v="37050"/>
    <n v="0"/>
    <n v="37050"/>
    <n v="24700"/>
    <n v="12350"/>
    <n v="40755"/>
    <n v="-3705"/>
    <n v="-9.0909090909090912E-2"/>
    <d v="2014-06-01T00:00:00"/>
    <n v="6"/>
    <s v="June"/>
    <s v="2014"/>
  </r>
  <r>
    <x v="3"/>
    <s v="Canada"/>
    <s v="Montana"/>
    <s v="None"/>
    <n v="2665.5"/>
    <n v="5"/>
    <n v="125"/>
    <n v="333187.5"/>
    <n v="0"/>
    <n v="333187.5"/>
    <n v="319860"/>
    <n v="13327.5"/>
    <n v="336519.375"/>
    <n v="-3331.875"/>
    <n v="-9.9009900990099011E-3"/>
    <d v="2014-07-01T00:00:00"/>
    <n v="7"/>
    <s v="July"/>
    <s v="2014"/>
  </r>
  <r>
    <x v="4"/>
    <s v="Mexico"/>
    <s v="Montana"/>
    <s v="None"/>
    <n v="958"/>
    <n v="5"/>
    <n v="300"/>
    <n v="287400"/>
    <n v="0"/>
    <n v="287400"/>
    <n v="239500"/>
    <n v="47900"/>
    <n v="252912"/>
    <n v="34488"/>
    <n v="0.13636363636363635"/>
    <d v="2014-08-01T00:00:00"/>
    <n v="8"/>
    <s v="August"/>
    <s v="2014"/>
  </r>
  <r>
    <x v="0"/>
    <s v="Germany"/>
    <s v="Montana"/>
    <s v="None"/>
    <n v="2146"/>
    <n v="5"/>
    <n v="7"/>
    <n v="15022"/>
    <n v="0"/>
    <n v="15022"/>
    <n v="10730"/>
    <n v="4292"/>
    <n v="14270.9"/>
    <n v="751.10000000000036"/>
    <n v="5.2631578947368446E-2"/>
    <d v="2014-09-01T00:00:00"/>
    <n v="9"/>
    <s v="September"/>
    <s v="2014"/>
  </r>
  <r>
    <x v="3"/>
    <s v="Canada"/>
    <s v="Montana"/>
    <s v="None"/>
    <n v="345"/>
    <n v="5"/>
    <n v="125"/>
    <n v="43125"/>
    <n v="0"/>
    <n v="43125"/>
    <n v="41400"/>
    <n v="1725"/>
    <n v="37087.5"/>
    <n v="6037.5"/>
    <n v="0.16279069767441862"/>
    <d v="2013-10-01T00:00:00"/>
    <n v="10"/>
    <s v="October"/>
    <s v="2013"/>
  </r>
  <r>
    <x v="1"/>
    <s v="United States of America"/>
    <s v="Montana"/>
    <s v="None"/>
    <n v="615"/>
    <n v="5"/>
    <n v="15"/>
    <n v="9225"/>
    <n v="0"/>
    <n v="9225"/>
    <n v="6150"/>
    <n v="3075"/>
    <n v="9594"/>
    <n v="-369"/>
    <n v="-3.8461538461538464E-2"/>
    <d v="2014-12-01T00:00:00"/>
    <n v="12"/>
    <s v="December"/>
    <s v="2014"/>
  </r>
  <r>
    <x v="0"/>
    <s v="Canada"/>
    <s v="Paseo"/>
    <s v="None"/>
    <n v="292"/>
    <n v="10"/>
    <n v="20"/>
    <n v="5840"/>
    <n v="0"/>
    <n v="5840"/>
    <n v="2920"/>
    <n v="2920"/>
    <n v="5606.4"/>
    <n v="233.60000000000036"/>
    <n v="4.1666666666666734E-2"/>
    <d v="2014-02-01T00:00:00"/>
    <n v="2"/>
    <s v="February"/>
    <s v="2014"/>
  </r>
  <r>
    <x v="1"/>
    <s v="Mexico"/>
    <s v="Paseo"/>
    <s v="None"/>
    <n v="974"/>
    <n v="10"/>
    <n v="15"/>
    <n v="14610"/>
    <n v="0"/>
    <n v="14610"/>
    <n v="9740"/>
    <n v="4870"/>
    <n v="14902.2"/>
    <n v="-292.20000000000073"/>
    <n v="-1.960784313725495E-2"/>
    <d v="2014-02-01T00:00:00"/>
    <n v="2"/>
    <s v="February"/>
    <s v="2014"/>
  </r>
  <r>
    <x v="2"/>
    <s v="Canada"/>
    <s v="Paseo"/>
    <s v="None"/>
    <n v="2518"/>
    <n v="10"/>
    <n v="12"/>
    <n v="30216"/>
    <n v="0"/>
    <n v="30216"/>
    <n v="7554"/>
    <n v="22662"/>
    <n v="34144.079999999994"/>
    <n v="-3928.0799999999945"/>
    <n v="-0.11504424778761048"/>
    <d v="2014-06-01T00:00:00"/>
    <n v="6"/>
    <s v="June"/>
    <s v="2014"/>
  </r>
  <r>
    <x v="0"/>
    <s v="Germany"/>
    <s v="Paseo"/>
    <s v="None"/>
    <n v="1006"/>
    <n v="10"/>
    <n v="350"/>
    <n v="352100"/>
    <n v="0"/>
    <n v="352100"/>
    <n v="261560"/>
    <n v="90540"/>
    <n v="348579"/>
    <n v="3521"/>
    <n v="1.0101010101010102E-2"/>
    <d v="2014-06-01T00:00:00"/>
    <n v="6"/>
    <s v="June"/>
    <s v="2014"/>
  </r>
  <r>
    <x v="2"/>
    <s v="Germany"/>
    <s v="Paseo"/>
    <s v="None"/>
    <n v="367"/>
    <n v="10"/>
    <n v="12"/>
    <n v="4404"/>
    <n v="0"/>
    <n v="4404"/>
    <n v="1101"/>
    <n v="3303"/>
    <n v="4315.92"/>
    <n v="88.079999999999927"/>
    <n v="2.0408163265306107E-2"/>
    <d v="2014-07-01T00:00:00"/>
    <n v="7"/>
    <s v="July"/>
    <s v="2014"/>
  </r>
  <r>
    <x v="0"/>
    <s v="Mexico"/>
    <s v="Paseo"/>
    <s v="None"/>
    <n v="883"/>
    <n v="10"/>
    <n v="7"/>
    <n v="6181"/>
    <n v="0"/>
    <n v="6181"/>
    <n v="4415"/>
    <n v="1766"/>
    <n v="5315.66"/>
    <n v="865.34000000000015"/>
    <n v="0.16279069767441864"/>
    <d v="2014-08-01T00:00:00"/>
    <n v="8"/>
    <s v="August"/>
    <s v="2014"/>
  </r>
  <r>
    <x v="1"/>
    <s v="France"/>
    <s v="Paseo"/>
    <s v="None"/>
    <n v="549"/>
    <n v="10"/>
    <n v="15"/>
    <n v="8235"/>
    <n v="0"/>
    <n v="8235"/>
    <n v="5490"/>
    <n v="2745"/>
    <n v="8564.4"/>
    <n v="-329.39999999999964"/>
    <n v="-3.8461538461538422E-2"/>
    <d v="2013-09-01T00:00:00"/>
    <n v="9"/>
    <s v="September"/>
    <s v="2013"/>
  </r>
  <r>
    <x v="4"/>
    <s v="Mexico"/>
    <s v="Paseo"/>
    <s v="None"/>
    <n v="788"/>
    <n v="10"/>
    <n v="300"/>
    <n v="236400"/>
    <n v="0"/>
    <n v="236400"/>
    <n v="197000"/>
    <n v="39400"/>
    <n v="241128"/>
    <n v="-4728"/>
    <n v="-1.9607843137254902E-2"/>
    <d v="2013-09-01T00:00:00"/>
    <n v="9"/>
    <s v="September"/>
    <s v="2013"/>
  </r>
  <r>
    <x v="1"/>
    <s v="Mexico"/>
    <s v="Paseo"/>
    <s v="None"/>
    <n v="2472"/>
    <n v="10"/>
    <n v="15"/>
    <n v="37080"/>
    <n v="0"/>
    <n v="37080"/>
    <n v="24720"/>
    <n v="12360"/>
    <n v="38192.400000000001"/>
    <n v="-1112.4000000000015"/>
    <n v="-2.9126213592233045E-2"/>
    <d v="2014-09-01T00:00:00"/>
    <n v="9"/>
    <s v="September"/>
    <s v="2014"/>
  </r>
  <r>
    <x v="0"/>
    <s v="United States of America"/>
    <s v="Paseo"/>
    <s v="None"/>
    <n v="1143"/>
    <n v="10"/>
    <n v="7"/>
    <n v="8001"/>
    <n v="0"/>
    <n v="8001"/>
    <n v="5715"/>
    <n v="2286"/>
    <n v="7360.92"/>
    <n v="640.07999999999993"/>
    <n v="8.6956521739130418E-2"/>
    <d v="2014-10-01T00:00:00"/>
    <n v="10"/>
    <s v="October"/>
    <s v="2014"/>
  </r>
  <r>
    <x v="0"/>
    <s v="Canada"/>
    <s v="Paseo"/>
    <s v="None"/>
    <n v="1725"/>
    <n v="10"/>
    <n v="350"/>
    <n v="603750"/>
    <n v="0"/>
    <n v="603750"/>
    <n v="448500"/>
    <n v="155250"/>
    <n v="658087.5"/>
    <n v="-54337.5"/>
    <n v="-8.2568807339449546E-2"/>
    <d v="2013-11-01T00:00:00"/>
    <n v="11"/>
    <s v="November"/>
    <s v="2013"/>
  </r>
  <r>
    <x v="2"/>
    <s v="United States of America"/>
    <s v="Paseo"/>
    <s v="None"/>
    <n v="912"/>
    <n v="10"/>
    <n v="12"/>
    <n v="10944"/>
    <n v="0"/>
    <n v="10944"/>
    <n v="2736"/>
    <n v="8208"/>
    <n v="11819.52"/>
    <n v="-875.52000000000044"/>
    <n v="-7.4074074074074112E-2"/>
    <d v="2013-11-01T00:00:00"/>
    <n v="11"/>
    <s v="November"/>
    <s v="2013"/>
  </r>
  <r>
    <x v="1"/>
    <s v="Canada"/>
    <s v="Paseo"/>
    <s v="None"/>
    <n v="2152"/>
    <n v="10"/>
    <n v="15"/>
    <n v="32280"/>
    <n v="0"/>
    <n v="32280"/>
    <n v="21520"/>
    <n v="10760"/>
    <n v="37122"/>
    <n v="-4842"/>
    <n v="-0.13043478260869565"/>
    <d v="2013-12-01T00:00:00"/>
    <n v="12"/>
    <s v="December"/>
    <s v="2013"/>
  </r>
  <r>
    <x v="0"/>
    <s v="Canada"/>
    <s v="Paseo"/>
    <s v="None"/>
    <n v="1817"/>
    <n v="10"/>
    <n v="20"/>
    <n v="36340"/>
    <n v="0"/>
    <n v="36340"/>
    <n v="18170"/>
    <n v="18170"/>
    <n v="30889"/>
    <n v="5451"/>
    <n v="0.17647058823529413"/>
    <d v="2014-12-01T00:00:00"/>
    <n v="12"/>
    <s v="December"/>
    <s v="2014"/>
  </r>
  <r>
    <x v="0"/>
    <s v="Germany"/>
    <s v="Paseo"/>
    <s v="None"/>
    <n v="1513"/>
    <n v="10"/>
    <n v="350"/>
    <n v="529550"/>
    <n v="0"/>
    <n v="529550"/>
    <n v="393380"/>
    <n v="136170"/>
    <n v="524254.5"/>
    <n v="5295.5"/>
    <n v="1.0101010101010102E-2"/>
    <d v="2014-12-01T00:00:00"/>
    <n v="12"/>
    <s v="December"/>
    <s v="2014"/>
  </r>
  <r>
    <x v="0"/>
    <s v="Mexico"/>
    <s v="Velo"/>
    <s v="None"/>
    <n v="1493"/>
    <n v="120"/>
    <n v="7"/>
    <n v="10451"/>
    <n v="0"/>
    <n v="10451"/>
    <n v="7465"/>
    <n v="2986"/>
    <n v="11182.570000000002"/>
    <n v="-731.57000000000153"/>
    <n v="-6.5420560747663684E-2"/>
    <d v="2014-01-01T00:00:00"/>
    <n v="1"/>
    <s v="January"/>
    <s v="2014"/>
  </r>
  <r>
    <x v="3"/>
    <s v="France"/>
    <s v="Velo"/>
    <s v="None"/>
    <n v="1804"/>
    <n v="120"/>
    <n v="125"/>
    <n v="225500"/>
    <n v="0"/>
    <n v="225500"/>
    <n v="216480"/>
    <n v="9020"/>
    <n v="236775"/>
    <n v="-11275"/>
    <n v="-4.7619047619047616E-2"/>
    <d v="2014-02-01T00:00:00"/>
    <n v="2"/>
    <s v="February"/>
    <s v="2014"/>
  </r>
  <r>
    <x v="2"/>
    <s v="Germany"/>
    <s v="Velo"/>
    <s v="None"/>
    <n v="2161"/>
    <n v="120"/>
    <n v="12"/>
    <n v="25932"/>
    <n v="0"/>
    <n v="25932"/>
    <n v="6483"/>
    <n v="19449"/>
    <n v="27747.24"/>
    <n v="-1815.2400000000016"/>
    <n v="-6.54205607476636E-2"/>
    <d v="2014-03-01T00:00:00"/>
    <n v="3"/>
    <s v="March"/>
    <s v="2014"/>
  </r>
  <r>
    <x v="0"/>
    <s v="Germany"/>
    <s v="Velo"/>
    <s v="None"/>
    <n v="1006"/>
    <n v="120"/>
    <n v="350"/>
    <n v="352100"/>
    <n v="0"/>
    <n v="352100"/>
    <n v="261560"/>
    <n v="90540"/>
    <n v="330974"/>
    <n v="21126"/>
    <n v="6.3829787234042548E-2"/>
    <d v="2014-06-01T00:00:00"/>
    <n v="6"/>
    <s v="June"/>
    <s v="2014"/>
  </r>
  <r>
    <x v="2"/>
    <s v="Germany"/>
    <s v="Velo"/>
    <s v="None"/>
    <n v="1545"/>
    <n v="120"/>
    <n v="12"/>
    <n v="18540"/>
    <n v="0"/>
    <n v="18540"/>
    <n v="4635"/>
    <n v="13905"/>
    <n v="16686"/>
    <n v="1854"/>
    <n v="0.1111111111111111"/>
    <d v="2014-06-01T00:00:00"/>
    <n v="6"/>
    <s v="June"/>
    <s v="2014"/>
  </r>
  <r>
    <x v="3"/>
    <s v="United States of America"/>
    <s v="Velo"/>
    <s v="None"/>
    <n v="2821"/>
    <n v="120"/>
    <n v="125"/>
    <n v="352625"/>
    <n v="0"/>
    <n v="352625"/>
    <n v="338520"/>
    <n v="14105"/>
    <n v="324415"/>
    <n v="28210"/>
    <n v="8.6956521739130432E-2"/>
    <d v="2014-08-01T00:00:00"/>
    <n v="8"/>
    <s v="August"/>
    <s v="2014"/>
  </r>
  <r>
    <x v="3"/>
    <s v="Canada"/>
    <s v="Velo"/>
    <s v="None"/>
    <n v="345"/>
    <n v="120"/>
    <n v="125"/>
    <n v="43125"/>
    <n v="0"/>
    <n v="43125"/>
    <n v="41400"/>
    <n v="1725"/>
    <n v="46143.75"/>
    <n v="-3018.75"/>
    <n v="-6.5420560747663545E-2"/>
    <d v="2013-10-01T00:00:00"/>
    <n v="10"/>
    <s v="October"/>
    <s v="2013"/>
  </r>
  <r>
    <x v="4"/>
    <s v="Canada"/>
    <s v="VTT"/>
    <s v="None"/>
    <n v="2001"/>
    <n v="250"/>
    <n v="300"/>
    <n v="600300"/>
    <n v="0"/>
    <n v="600300"/>
    <n v="500250"/>
    <n v="100050"/>
    <n v="684341.99999999988"/>
    <n v="-84041.999999999884"/>
    <n v="-0.1228070175438595"/>
    <d v="2014-02-01T00:00:00"/>
    <n v="2"/>
    <s v="February"/>
    <s v="2014"/>
  </r>
  <r>
    <x v="2"/>
    <s v="Germany"/>
    <s v="VTT"/>
    <s v="None"/>
    <n v="2838"/>
    <n v="250"/>
    <n v="12"/>
    <n v="34056"/>
    <n v="0"/>
    <n v="34056"/>
    <n v="8514"/>
    <n v="25542"/>
    <n v="36439.920000000006"/>
    <n v="-2383.9200000000055"/>
    <n v="-6.5420560747663697E-2"/>
    <d v="2014-04-01T00:00:00"/>
    <n v="4"/>
    <s v="April"/>
    <s v="2014"/>
  </r>
  <r>
    <x v="1"/>
    <s v="France"/>
    <s v="VTT"/>
    <s v="None"/>
    <n v="2178"/>
    <n v="250"/>
    <n v="15"/>
    <n v="32670"/>
    <n v="0"/>
    <n v="32670"/>
    <n v="21780"/>
    <n v="10890"/>
    <n v="37570.5"/>
    <n v="-4900.5"/>
    <n v="-0.13043478260869565"/>
    <d v="2014-06-01T00:00:00"/>
    <n v="6"/>
    <s v="June"/>
    <s v="2014"/>
  </r>
  <r>
    <x v="1"/>
    <s v="Germany"/>
    <s v="VTT"/>
    <s v="None"/>
    <n v="888"/>
    <n v="250"/>
    <n v="15"/>
    <n v="13320"/>
    <n v="0"/>
    <n v="13320"/>
    <n v="8880"/>
    <n v="4440"/>
    <n v="13320"/>
    <n v="0"/>
    <n v="0"/>
    <d v="2014-06-01T00:00:00"/>
    <n v="6"/>
    <s v="June"/>
    <s v="2014"/>
  </r>
  <r>
    <x v="0"/>
    <s v="France"/>
    <s v="VTT"/>
    <s v="None"/>
    <n v="1527"/>
    <n v="250"/>
    <n v="350"/>
    <n v="534450"/>
    <n v="0"/>
    <n v="534450"/>
    <n v="397020"/>
    <n v="137430"/>
    <n v="539794.5"/>
    <n v="-5344.5"/>
    <n v="-9.9009900990099011E-3"/>
    <d v="2013-09-01T00:00:00"/>
    <n v="9"/>
    <s v="September"/>
    <s v="2013"/>
  </r>
  <r>
    <x v="4"/>
    <s v="France"/>
    <s v="VTT"/>
    <s v="None"/>
    <n v="2151"/>
    <n v="250"/>
    <n v="300"/>
    <n v="645300"/>
    <n v="0"/>
    <n v="645300"/>
    <n v="537750"/>
    <n v="107550"/>
    <n v="684018"/>
    <n v="-38718"/>
    <n v="-5.6603773584905662E-2"/>
    <d v="2014-09-01T00:00:00"/>
    <n v="9"/>
    <s v="September"/>
    <s v="2014"/>
  </r>
  <r>
    <x v="0"/>
    <s v="Canada"/>
    <s v="VTT"/>
    <s v="None"/>
    <n v="1817"/>
    <n v="250"/>
    <n v="20"/>
    <n v="36340"/>
    <n v="0"/>
    <n v="36340"/>
    <n v="18170"/>
    <n v="18170"/>
    <n v="33069.4"/>
    <n v="3270.5999999999985"/>
    <n v="9.8901098901098855E-2"/>
    <d v="2014-12-01T00:00:00"/>
    <n v="12"/>
    <s v="December"/>
    <s v="2014"/>
  </r>
  <r>
    <x v="0"/>
    <s v="France"/>
    <s v="Amarilla"/>
    <s v="None"/>
    <n v="2750"/>
    <n v="260"/>
    <n v="350"/>
    <n v="962500"/>
    <n v="0"/>
    <n v="962500"/>
    <n v="715000"/>
    <n v="247500"/>
    <n v="933625"/>
    <n v="28875"/>
    <n v="3.0927835051546393E-2"/>
    <d v="2014-02-01T00:00:00"/>
    <n v="2"/>
    <s v="February"/>
    <s v="2014"/>
  </r>
  <r>
    <x v="2"/>
    <s v="United States of America"/>
    <s v="Amarilla"/>
    <s v="None"/>
    <n v="1953"/>
    <n v="260"/>
    <n v="12"/>
    <n v="23436"/>
    <n v="0"/>
    <n v="23436"/>
    <n v="5859"/>
    <n v="17577"/>
    <n v="22498.559999999998"/>
    <n v="937.44000000000233"/>
    <n v="4.1666666666666775E-2"/>
    <d v="2014-04-01T00:00:00"/>
    <n v="4"/>
    <s v="April"/>
    <s v="2014"/>
  </r>
  <r>
    <x v="3"/>
    <s v="Germany"/>
    <s v="Amarilla"/>
    <s v="None"/>
    <n v="4219.5"/>
    <n v="260"/>
    <n v="125"/>
    <n v="527437.5"/>
    <n v="0"/>
    <n v="527437.5"/>
    <n v="506340"/>
    <n v="21097.5"/>
    <n v="553809.375"/>
    <n v="-26371.875"/>
    <n v="-4.7619047619047616E-2"/>
    <d v="2014-04-01T00:00:00"/>
    <n v="4"/>
    <s v="April"/>
    <s v="2014"/>
  </r>
  <r>
    <x v="0"/>
    <s v="France"/>
    <s v="Amarilla"/>
    <s v="None"/>
    <n v="1899"/>
    <n v="260"/>
    <n v="20"/>
    <n v="37980"/>
    <n v="0"/>
    <n v="37980"/>
    <n v="18990"/>
    <n v="18990"/>
    <n v="32662.799999999999"/>
    <n v="5317.2000000000007"/>
    <n v="0.16279069767441864"/>
    <d v="2014-06-01T00:00:00"/>
    <n v="6"/>
    <s v="June"/>
    <s v="2014"/>
  </r>
  <r>
    <x v="0"/>
    <s v="Germany"/>
    <s v="Amarilla"/>
    <s v="None"/>
    <n v="1686"/>
    <n v="260"/>
    <n v="7"/>
    <n v="11802"/>
    <n v="0"/>
    <n v="11802"/>
    <n v="8430"/>
    <n v="3372"/>
    <n v="12156.06"/>
    <n v="-354.05999999999949"/>
    <n v="-2.9126213592232969E-2"/>
    <d v="2014-07-01T00:00:00"/>
    <n v="7"/>
    <s v="July"/>
    <s v="2014"/>
  </r>
  <r>
    <x v="2"/>
    <s v="United States of America"/>
    <s v="Amarilla"/>
    <s v="None"/>
    <n v="2141"/>
    <n v="260"/>
    <n v="12"/>
    <n v="25692"/>
    <n v="0"/>
    <n v="25692"/>
    <n v="6423"/>
    <n v="19269"/>
    <n v="23379.72"/>
    <n v="2312.2799999999988"/>
    <n v="9.8901098901098841E-2"/>
    <d v="2014-08-01T00:00:00"/>
    <n v="8"/>
    <s v="August"/>
    <s v="2014"/>
  </r>
  <r>
    <x v="0"/>
    <s v="United States of America"/>
    <s v="Amarilla"/>
    <s v="None"/>
    <n v="1143"/>
    <n v="260"/>
    <n v="7"/>
    <n v="8001"/>
    <n v="0"/>
    <n v="8001"/>
    <n v="5715"/>
    <n v="2286"/>
    <n v="7040.88"/>
    <n v="960.11999999999989"/>
    <n v="0.13636363636363635"/>
    <d v="2014-10-01T00:00:00"/>
    <n v="10"/>
    <s v="October"/>
    <s v="2014"/>
  </r>
  <r>
    <x v="1"/>
    <s v="United States of America"/>
    <s v="Amarilla"/>
    <s v="None"/>
    <n v="615"/>
    <n v="260"/>
    <n v="15"/>
    <n v="9225"/>
    <n v="0"/>
    <n v="9225"/>
    <n v="6150"/>
    <n v="3075"/>
    <n v="7841.25"/>
    <n v="1383.75"/>
    <n v="0.17647058823529413"/>
    <d v="2014-12-01T00:00:00"/>
    <n v="12"/>
    <s v="December"/>
    <s v="2014"/>
  </r>
  <r>
    <x v="0"/>
    <s v="France"/>
    <s v="Paseo"/>
    <s v="Low"/>
    <n v="3945"/>
    <n v="10"/>
    <n v="7"/>
    <n v="27615"/>
    <n v="276.14999999999998"/>
    <n v="27338.850000000002"/>
    <n v="19725"/>
    <n v="7613.8500000000022"/>
    <n v="23784.799500000001"/>
    <n v="3554.0505000000012"/>
    <n v="0.14942528735632188"/>
    <d v="2014-01-01T00:00:00"/>
    <n v="1"/>
    <s v="January"/>
    <s v="2014"/>
  </r>
  <r>
    <x v="1"/>
    <s v="France"/>
    <s v="Paseo"/>
    <s v="Low"/>
    <n v="2296"/>
    <n v="10"/>
    <n v="15"/>
    <n v="34440"/>
    <n v="344.4"/>
    <n v="34095.599999999999"/>
    <n v="22960"/>
    <n v="11135.599999999999"/>
    <n v="32390.819999999996"/>
    <n v="1704.7800000000025"/>
    <n v="5.2631578947368501E-2"/>
    <d v="2014-02-01T00:00:00"/>
    <n v="2"/>
    <s v="February"/>
    <s v="2014"/>
  </r>
  <r>
    <x v="0"/>
    <s v="France"/>
    <s v="Paseo"/>
    <s v="Low"/>
    <n v="1030"/>
    <n v="10"/>
    <n v="7"/>
    <n v="7210"/>
    <n v="72.099999999999994"/>
    <n v="7137.9"/>
    <n v="5150"/>
    <n v="1987.8999999999996"/>
    <n v="6995.1419999999998"/>
    <n v="142.75799999999981"/>
    <n v="2.0408163265306097E-2"/>
    <d v="2014-05-01T00:00:00"/>
    <n v="5"/>
    <s v="May"/>
    <s v="2014"/>
  </r>
  <r>
    <x v="0"/>
    <s v="France"/>
    <s v="Velo"/>
    <s v="Low"/>
    <n v="639"/>
    <n v="120"/>
    <n v="7"/>
    <n v="4473"/>
    <n v="44.73"/>
    <n v="4428.2700000000004"/>
    <n v="3195"/>
    <n v="1233.2700000000004"/>
    <n v="4738.2489000000005"/>
    <n v="-309.97890000000007"/>
    <n v="-6.5420560747663559E-2"/>
    <d v="2014-11-01T00:00:00"/>
    <n v="11"/>
    <s v="November"/>
    <s v="2014"/>
  </r>
  <r>
    <x v="0"/>
    <s v="Canada"/>
    <s v="VTT"/>
    <s v="Low"/>
    <n v="1326"/>
    <n v="250"/>
    <n v="7"/>
    <n v="9282"/>
    <n v="92.82"/>
    <n v="9189.18"/>
    <n v="6630"/>
    <n v="2559.1800000000003"/>
    <n v="7902.6948000000002"/>
    <n v="1286.4852000000001"/>
    <n v="0.16279069767441862"/>
    <d v="2014-03-01T00:00:00"/>
    <n v="3"/>
    <s v="March"/>
    <s v="2014"/>
  </r>
  <r>
    <x v="2"/>
    <s v="United States of America"/>
    <s v="Carretera"/>
    <s v="Low"/>
    <n v="1858"/>
    <n v="3"/>
    <n v="12"/>
    <n v="22296"/>
    <n v="222.96"/>
    <n v="22073.040000000001"/>
    <n v="5574"/>
    <n v="16499.04"/>
    <n v="21410.8488"/>
    <n v="662.19120000000112"/>
    <n v="3.0927835051546445E-2"/>
    <d v="2014-02-01T00:00:00"/>
    <n v="2"/>
    <s v="February"/>
    <s v="2014"/>
  </r>
  <r>
    <x v="0"/>
    <s v="Mexico"/>
    <s v="Carretera"/>
    <s v="Low"/>
    <n v="1210"/>
    <n v="3"/>
    <n v="350"/>
    <n v="423500"/>
    <n v="4235"/>
    <n v="419265"/>
    <n v="314600"/>
    <n v="104665"/>
    <n v="473769.44999999995"/>
    <n v="-54504.449999999953"/>
    <n v="-0.11504424778761053"/>
    <d v="2014-03-01T00:00:00"/>
    <n v="3"/>
    <s v="March"/>
    <s v="2014"/>
  </r>
  <r>
    <x v="0"/>
    <s v="United States of America"/>
    <s v="Carretera"/>
    <s v="Low"/>
    <n v="2529"/>
    <n v="3"/>
    <n v="7"/>
    <n v="17703"/>
    <n v="177.03"/>
    <n v="17525.97"/>
    <n v="12645"/>
    <n v="4880.9699999999993"/>
    <n v="17876.489400000002"/>
    <n v="-350.51940000000104"/>
    <n v="-1.9607843137254957E-2"/>
    <d v="2014-07-01T00:00:00"/>
    <n v="7"/>
    <s v="July"/>
    <s v="2014"/>
  </r>
  <r>
    <x v="2"/>
    <s v="Canada"/>
    <s v="Carretera"/>
    <s v="Low"/>
    <n v="1445"/>
    <n v="3"/>
    <n v="12"/>
    <n v="17340"/>
    <n v="173.4"/>
    <n v="17166.599999999999"/>
    <n v="4335"/>
    <n v="12831.599999999999"/>
    <n v="14763.275999999998"/>
    <n v="2403.3240000000005"/>
    <n v="0.16279069767441867"/>
    <d v="2014-09-01T00:00:00"/>
    <n v="9"/>
    <s v="September"/>
    <s v="2014"/>
  </r>
  <r>
    <x v="3"/>
    <s v="United States of America"/>
    <s v="Carretera"/>
    <s v="Low"/>
    <n v="330"/>
    <n v="3"/>
    <n v="125"/>
    <n v="41250"/>
    <n v="412.5"/>
    <n v="40837.5"/>
    <n v="39600"/>
    <n v="1237.5"/>
    <n v="37570.5"/>
    <n v="3267"/>
    <n v="8.6956521739130432E-2"/>
    <d v="2013-09-01T00:00:00"/>
    <n v="9"/>
    <s v="September"/>
    <s v="2013"/>
  </r>
  <r>
    <x v="2"/>
    <s v="France"/>
    <s v="Carretera"/>
    <s v="Low"/>
    <n v="2671"/>
    <n v="3"/>
    <n v="12"/>
    <n v="32052"/>
    <n v="320.52"/>
    <n v="31731.48"/>
    <n v="8013"/>
    <n v="23718.48"/>
    <n v="33635.368800000004"/>
    <n v="-1903.8888000000043"/>
    <n v="-5.660377358490578E-2"/>
    <d v="2014-09-01T00:00:00"/>
    <n v="9"/>
    <s v="September"/>
    <s v="2014"/>
  </r>
  <r>
    <x v="2"/>
    <s v="Germany"/>
    <s v="Carretera"/>
    <s v="Low"/>
    <n v="766"/>
    <n v="3"/>
    <n v="12"/>
    <n v="9192"/>
    <n v="91.92"/>
    <n v="9100.08"/>
    <n v="2298"/>
    <n v="6802.08"/>
    <n v="10374.091199999999"/>
    <n v="-1274.011199999999"/>
    <n v="-0.12280701754385957"/>
    <d v="2013-10-01T00:00:00"/>
    <n v="10"/>
    <s v="October"/>
    <s v="2013"/>
  </r>
  <r>
    <x v="4"/>
    <s v="Mexico"/>
    <s v="Carretera"/>
    <s v="Low"/>
    <n v="494"/>
    <n v="3"/>
    <n v="300"/>
    <n v="148200"/>
    <n v="1482"/>
    <n v="146718"/>
    <n v="123500"/>
    <n v="23218"/>
    <n v="145250.82"/>
    <n v="1467.179999999993"/>
    <n v="1.0101010101010053E-2"/>
    <d v="2013-10-01T00:00:00"/>
    <n v="10"/>
    <s v="October"/>
    <s v="2013"/>
  </r>
  <r>
    <x v="0"/>
    <s v="Mexico"/>
    <s v="Carretera"/>
    <s v="Low"/>
    <n v="1397"/>
    <n v="3"/>
    <n v="350"/>
    <n v="488950"/>
    <n v="4889.5"/>
    <n v="484060.5"/>
    <n v="363220"/>
    <n v="120840.5"/>
    <n v="551828.97"/>
    <n v="-67768.469999999972"/>
    <n v="-0.1228070175438596"/>
    <d v="2014-10-01T00:00:00"/>
    <n v="10"/>
    <s v="October"/>
    <s v="2014"/>
  </r>
  <r>
    <x v="0"/>
    <s v="France"/>
    <s v="Carretera"/>
    <s v="Low"/>
    <n v="2155"/>
    <n v="3"/>
    <n v="350"/>
    <n v="754250"/>
    <n v="7542.5"/>
    <n v="746707.5"/>
    <n v="560300"/>
    <n v="186407.5"/>
    <n v="784042.875"/>
    <n v="-37335.375"/>
    <n v="-4.7619047619047616E-2"/>
    <d v="2014-12-01T00:00:00"/>
    <n v="12"/>
    <s v="December"/>
    <s v="2014"/>
  </r>
  <r>
    <x v="1"/>
    <s v="Mexico"/>
    <s v="Montana"/>
    <s v="Low"/>
    <n v="2214"/>
    <n v="5"/>
    <n v="15"/>
    <n v="33210"/>
    <n v="332.1"/>
    <n v="32877.9"/>
    <n v="22140"/>
    <n v="10737.900000000001"/>
    <n v="33864.237000000001"/>
    <n v="-986.33699999999953"/>
    <n v="-2.9126213592232997E-2"/>
    <d v="2014-03-01T00:00:00"/>
    <n v="3"/>
    <s v="March"/>
    <s v="2014"/>
  </r>
  <r>
    <x v="4"/>
    <s v="United States of America"/>
    <s v="Montana"/>
    <s v="Low"/>
    <n v="2301"/>
    <n v="5"/>
    <n v="300"/>
    <n v="690300"/>
    <n v="6903"/>
    <n v="683397"/>
    <n v="575250"/>
    <n v="108147"/>
    <n v="601389.36"/>
    <n v="82007.640000000014"/>
    <n v="0.13636363636363638"/>
    <d v="2014-04-01T00:00:00"/>
    <n v="4"/>
    <s v="April"/>
    <s v="2014"/>
  </r>
  <r>
    <x v="0"/>
    <s v="France"/>
    <s v="Montana"/>
    <s v="Low"/>
    <n v="1375.5"/>
    <n v="5"/>
    <n v="20"/>
    <n v="27510"/>
    <n v="275.10000000000002"/>
    <n v="27234.899999999998"/>
    <n v="13755"/>
    <n v="13479.899999999998"/>
    <n v="25600.805999999997"/>
    <n v="1634.094000000001"/>
    <n v="6.3829787234042604E-2"/>
    <d v="2014-07-01T00:00:00"/>
    <n v="7"/>
    <s v="July"/>
    <s v="2014"/>
  </r>
  <r>
    <x v="0"/>
    <s v="Canada"/>
    <s v="Montana"/>
    <s v="Low"/>
    <n v="1830"/>
    <n v="5"/>
    <n v="7"/>
    <n v="12810"/>
    <n v="128.1"/>
    <n v="12681.9"/>
    <n v="9150"/>
    <n v="3531.8999999999996"/>
    <n v="12935.538"/>
    <n v="-253.63800000000083"/>
    <n v="-1.9607843137254964E-2"/>
    <d v="2014-08-01T00:00:00"/>
    <n v="8"/>
    <s v="August"/>
    <s v="2014"/>
  </r>
  <r>
    <x v="4"/>
    <s v="United States of America"/>
    <s v="Montana"/>
    <s v="Low"/>
    <n v="2498"/>
    <n v="5"/>
    <n v="300"/>
    <n v="749400"/>
    <n v="7494"/>
    <n v="741906"/>
    <n v="624500"/>
    <n v="117406"/>
    <n v="771582.24"/>
    <n v="-29676.239999999991"/>
    <n v="-3.846153846153845E-2"/>
    <d v="2013-09-01T00:00:00"/>
    <n v="9"/>
    <s v="September"/>
    <s v="2013"/>
  </r>
  <r>
    <x v="3"/>
    <s v="United States of America"/>
    <s v="Montana"/>
    <s v="Low"/>
    <n v="663"/>
    <n v="5"/>
    <n v="125"/>
    <n v="82875"/>
    <n v="828.75"/>
    <n v="82046.25"/>
    <n v="79560"/>
    <n v="2486.25"/>
    <n v="76303.012499999997"/>
    <n v="5743.2375000000029"/>
    <n v="7.5268817204301119E-2"/>
    <d v="2013-10-01T00:00:00"/>
    <n v="10"/>
    <s v="October"/>
    <s v="2013"/>
  </r>
  <r>
    <x v="1"/>
    <s v="United States of America"/>
    <s v="Paseo"/>
    <s v="Low"/>
    <n v="1514"/>
    <n v="10"/>
    <n v="15"/>
    <n v="22710"/>
    <n v="227.1"/>
    <n v="22482.9"/>
    <n v="15140"/>
    <n v="7342.9000000000015"/>
    <n v="20234.61"/>
    <n v="2248.2900000000009"/>
    <n v="0.11111111111111115"/>
    <d v="2014-02-01T00:00:00"/>
    <n v="2"/>
    <s v="February"/>
    <s v="2014"/>
  </r>
  <r>
    <x v="0"/>
    <s v="United States of America"/>
    <s v="Paseo"/>
    <s v="Low"/>
    <n v="4492.5"/>
    <n v="10"/>
    <n v="7"/>
    <n v="31447.5"/>
    <n v="314.47500000000002"/>
    <n v="31133.024999999998"/>
    <n v="22462.5"/>
    <n v="8670.5249999999978"/>
    <n v="32067.015749999999"/>
    <n v="-933.99075000000084"/>
    <n v="-2.9126213592233038E-2"/>
    <d v="2014-04-01T00:00:00"/>
    <n v="4"/>
    <s v="April"/>
    <s v="2014"/>
  </r>
  <r>
    <x v="3"/>
    <s v="United States of America"/>
    <s v="Paseo"/>
    <s v="Low"/>
    <n v="727"/>
    <n v="10"/>
    <n v="125"/>
    <n v="90875"/>
    <n v="908.75"/>
    <n v="89966.25"/>
    <n v="87240"/>
    <n v="2726.25"/>
    <n v="100762.20000000001"/>
    <n v="-10795.950000000012"/>
    <n v="-0.10714285714285725"/>
    <d v="2014-06-01T00:00:00"/>
    <n v="6"/>
    <s v="June"/>
    <s v="2014"/>
  </r>
  <r>
    <x v="3"/>
    <s v="France"/>
    <s v="Paseo"/>
    <s v="Low"/>
    <n v="787"/>
    <n v="10"/>
    <n v="125"/>
    <n v="98375"/>
    <n v="983.75"/>
    <n v="97391.25"/>
    <n v="94440"/>
    <n v="2951.25"/>
    <n v="90573.862500000003"/>
    <n v="6817.3874999999971"/>
    <n v="7.5268817204301036E-2"/>
    <d v="2014-06-01T00:00:00"/>
    <n v="6"/>
    <s v="June"/>
    <s v="2014"/>
  </r>
  <r>
    <x v="3"/>
    <s v="Mexico"/>
    <s v="Paseo"/>
    <s v="Low"/>
    <n v="1823"/>
    <n v="10"/>
    <n v="125"/>
    <n v="227875"/>
    <n v="2278.75"/>
    <n v="225596.25"/>
    <n v="218760"/>
    <n v="6836.25"/>
    <n v="252667.80000000002"/>
    <n v="-27071.550000000017"/>
    <n v="-0.10714285714285721"/>
    <d v="2014-07-01T00:00:00"/>
    <n v="7"/>
    <s v="July"/>
    <s v="2014"/>
  </r>
  <r>
    <x v="1"/>
    <s v="Germany"/>
    <s v="Paseo"/>
    <s v="Low"/>
    <n v="747"/>
    <n v="10"/>
    <n v="15"/>
    <n v="11205"/>
    <n v="112.05"/>
    <n v="11092.95"/>
    <n v="7470"/>
    <n v="3622.9500000000007"/>
    <n v="10982.020500000001"/>
    <n v="110.92950000000019"/>
    <n v="1.0101010101010117E-2"/>
    <d v="2014-09-01T00:00:00"/>
    <n v="9"/>
    <s v="September"/>
    <s v="2014"/>
  </r>
  <r>
    <x v="2"/>
    <s v="Germany"/>
    <s v="Paseo"/>
    <s v="Low"/>
    <n v="766"/>
    <n v="10"/>
    <n v="12"/>
    <n v="9192"/>
    <n v="91.92"/>
    <n v="9100.08"/>
    <n v="2298"/>
    <n v="6802.08"/>
    <n v="8918.0784000000003"/>
    <n v="182.0015999999996"/>
    <n v="2.0408163265306076E-2"/>
    <d v="2013-10-01T00:00:00"/>
    <n v="10"/>
    <s v="October"/>
    <s v="2013"/>
  </r>
  <r>
    <x v="4"/>
    <s v="United States of America"/>
    <s v="Paseo"/>
    <s v="Low"/>
    <n v="2905"/>
    <n v="10"/>
    <n v="300"/>
    <n v="871500"/>
    <n v="8715"/>
    <n v="862785"/>
    <n v="726250"/>
    <n v="136535"/>
    <n v="983574.89999999991"/>
    <n v="-120789.89999999991"/>
    <n v="-0.12280701754385957"/>
    <d v="2014-11-01T00:00:00"/>
    <n v="11"/>
    <s v="November"/>
    <s v="2014"/>
  </r>
  <r>
    <x v="0"/>
    <s v="France"/>
    <s v="Paseo"/>
    <s v="Low"/>
    <n v="2155"/>
    <n v="10"/>
    <n v="350"/>
    <n v="754250"/>
    <n v="7542.5"/>
    <n v="746707.5"/>
    <n v="560300"/>
    <n v="186407.5"/>
    <n v="657102.6"/>
    <n v="89604.900000000023"/>
    <n v="0.13636363636363641"/>
    <d v="2014-12-01T00:00:00"/>
    <n v="12"/>
    <s v="December"/>
    <s v="2014"/>
  </r>
  <r>
    <x v="0"/>
    <s v="France"/>
    <s v="Velo"/>
    <s v="Low"/>
    <n v="3864"/>
    <n v="120"/>
    <n v="20"/>
    <n v="77280"/>
    <n v="772.80000000000007"/>
    <n v="76507.200000000012"/>
    <n v="38640"/>
    <n v="37867.200000000004"/>
    <n v="78037.344000000012"/>
    <n v="-1530.1440000000002"/>
    <n v="-1.9607843137254902E-2"/>
    <d v="2014-04-01T00:00:00"/>
    <n v="4"/>
    <s v="April"/>
    <s v="2014"/>
  </r>
  <r>
    <x v="0"/>
    <s v="Mexico"/>
    <s v="Velo"/>
    <s v="Low"/>
    <n v="362"/>
    <n v="120"/>
    <n v="7"/>
    <n v="2534"/>
    <n v="25.34"/>
    <n v="2508.66"/>
    <n v="1810"/>
    <n v="698.65999999999985"/>
    <n v="2132.3609999999999"/>
    <n v="376.29899999999998"/>
    <n v="0.17647058823529413"/>
    <d v="2014-05-01T00:00:00"/>
    <n v="5"/>
    <s v="May"/>
    <s v="2014"/>
  </r>
  <r>
    <x v="3"/>
    <s v="Canada"/>
    <s v="Velo"/>
    <s v="Low"/>
    <n v="923"/>
    <n v="120"/>
    <n v="125"/>
    <n v="115375"/>
    <n v="1153.75"/>
    <n v="114221.25"/>
    <n v="110760"/>
    <n v="3461.25"/>
    <n v="117647.8875"/>
    <n v="-3426.6374999999971"/>
    <n v="-2.9126213592232986E-2"/>
    <d v="2014-08-01T00:00:00"/>
    <n v="8"/>
    <s v="August"/>
    <s v="2014"/>
  </r>
  <r>
    <x v="3"/>
    <s v="United States of America"/>
    <s v="Velo"/>
    <s v="Low"/>
    <n v="663"/>
    <n v="120"/>
    <n v="125"/>
    <n v="82875"/>
    <n v="828.75"/>
    <n v="82046.25"/>
    <n v="79560"/>
    <n v="2486.25"/>
    <n v="82046.25"/>
    <n v="0"/>
    <n v="0"/>
    <d v="2013-10-01T00:00:00"/>
    <n v="10"/>
    <s v="October"/>
    <s v="2013"/>
  </r>
  <r>
    <x v="0"/>
    <s v="Canada"/>
    <s v="Velo"/>
    <s v="Low"/>
    <n v="2092"/>
    <n v="120"/>
    <n v="7"/>
    <n v="14644"/>
    <n v="146.44"/>
    <n v="14497.56"/>
    <n v="10460"/>
    <n v="4037.5599999999995"/>
    <n v="12322.925999999999"/>
    <n v="2174.634"/>
    <n v="0.17647058823529413"/>
    <d v="2013-11-01T00:00:00"/>
    <n v="11"/>
    <s v="November"/>
    <s v="2013"/>
  </r>
  <r>
    <x v="0"/>
    <s v="Germany"/>
    <s v="VTT"/>
    <s v="Low"/>
    <n v="263"/>
    <n v="250"/>
    <n v="7"/>
    <n v="1841"/>
    <n v="18.41"/>
    <n v="1822.59"/>
    <n v="1315"/>
    <n v="507.58999999999992"/>
    <n v="2059.5266999999999"/>
    <n v="-236.93669999999997"/>
    <n v="-0.11504424778761062"/>
    <d v="2014-03-01T00:00:00"/>
    <n v="3"/>
    <s v="March"/>
    <s v="2014"/>
  </r>
  <r>
    <x v="0"/>
    <s v="Canada"/>
    <s v="VTT"/>
    <s v="Low"/>
    <n v="943.5"/>
    <n v="250"/>
    <n v="350"/>
    <n v="330225"/>
    <n v="3302.25"/>
    <n v="326922.75"/>
    <n v="245310"/>
    <n v="81612.75"/>
    <n v="310576.61249999999"/>
    <n v="16346.137500000012"/>
    <n v="5.263157894736846E-2"/>
    <d v="2014-04-01T00:00:00"/>
    <n v="4"/>
    <s v="April"/>
    <s v="2014"/>
  </r>
  <r>
    <x v="3"/>
    <s v="United States of America"/>
    <s v="VTT"/>
    <s v="Low"/>
    <n v="727"/>
    <n v="250"/>
    <n v="125"/>
    <n v="90875"/>
    <n v="908.75"/>
    <n v="89966.25"/>
    <n v="87240"/>
    <n v="2726.25"/>
    <n v="101661.86249999999"/>
    <n v="-11695.612499999988"/>
    <n v="-0.11504424778761052"/>
    <d v="2014-06-01T00:00:00"/>
    <n v="6"/>
    <s v="June"/>
    <s v="2014"/>
  </r>
  <r>
    <x v="3"/>
    <s v="France"/>
    <s v="VTT"/>
    <s v="Low"/>
    <n v="787"/>
    <n v="250"/>
    <n v="125"/>
    <n v="98375"/>
    <n v="983.75"/>
    <n v="97391.25"/>
    <n v="94440"/>
    <n v="2951.25"/>
    <n v="96417.337499999994"/>
    <n v="973.91250000000582"/>
    <n v="1.0101010101010163E-2"/>
    <d v="2014-06-01T00:00:00"/>
    <n v="6"/>
    <s v="June"/>
    <s v="2014"/>
  </r>
  <r>
    <x v="4"/>
    <s v="Germany"/>
    <s v="VTT"/>
    <s v="Low"/>
    <n v="986"/>
    <n v="250"/>
    <n v="300"/>
    <n v="295800"/>
    <n v="2958"/>
    <n v="292842"/>
    <n v="246500"/>
    <n v="46342"/>
    <n v="330911.45999999996"/>
    <n v="-38069.459999999963"/>
    <n v="-0.11504424778761052"/>
    <d v="2014-09-01T00:00:00"/>
    <n v="9"/>
    <s v="September"/>
    <s v="2014"/>
  </r>
  <r>
    <x v="4"/>
    <s v="Mexico"/>
    <s v="VTT"/>
    <s v="Low"/>
    <n v="494"/>
    <n v="250"/>
    <n v="300"/>
    <n v="148200"/>
    <n v="1482"/>
    <n v="146718"/>
    <n v="123500"/>
    <n v="23218"/>
    <n v="133513.38"/>
    <n v="13204.619999999995"/>
    <n v="9.8901098901098869E-2"/>
    <d v="2013-10-01T00:00:00"/>
    <n v="10"/>
    <s v="October"/>
    <s v="2013"/>
  </r>
  <r>
    <x v="0"/>
    <s v="Mexico"/>
    <s v="VTT"/>
    <s v="Low"/>
    <n v="1397"/>
    <n v="250"/>
    <n v="350"/>
    <n v="488950"/>
    <n v="4889.5"/>
    <n v="484060.5"/>
    <n v="363220"/>
    <n v="120840.5"/>
    <n v="527625.94500000007"/>
    <n v="-43565.445000000065"/>
    <n v="-8.2568807339449657E-2"/>
    <d v="2014-10-01T00:00:00"/>
    <n v="10"/>
    <s v="October"/>
    <s v="2014"/>
  </r>
  <r>
    <x v="3"/>
    <s v="France"/>
    <s v="VTT"/>
    <s v="Low"/>
    <n v="1744"/>
    <n v="250"/>
    <n v="125"/>
    <n v="218000"/>
    <n v="2180"/>
    <n v="215820"/>
    <n v="209280"/>
    <n v="6540"/>
    <n v="196396.2"/>
    <n v="19423.799999999988"/>
    <n v="9.8901098901098841E-2"/>
    <d v="2014-11-01T00:00:00"/>
    <n v="11"/>
    <s v="November"/>
    <s v="2014"/>
  </r>
  <r>
    <x v="2"/>
    <s v="United States of America"/>
    <s v="Amarilla"/>
    <s v="Low"/>
    <n v="1989"/>
    <n v="260"/>
    <n v="12"/>
    <n v="23868"/>
    <n v="238.68"/>
    <n v="23629.32"/>
    <n v="5967"/>
    <n v="17662.32"/>
    <n v="26937.424799999997"/>
    <n v="-3308.1047999999973"/>
    <n v="-0.12280701754385956"/>
    <d v="2013-09-01T00:00:00"/>
    <n v="9"/>
    <s v="September"/>
    <s v="2013"/>
  </r>
  <r>
    <x v="1"/>
    <s v="France"/>
    <s v="Amarilla"/>
    <s v="Low"/>
    <n v="321"/>
    <n v="260"/>
    <n v="15"/>
    <n v="4815"/>
    <n v="48.15"/>
    <n v="4766.8500000000004"/>
    <n v="3210"/>
    <n v="1556.8500000000004"/>
    <n v="5386.5405000000001"/>
    <n v="-619.6904999999997"/>
    <n v="-0.11504424778761056"/>
    <d v="2013-11-01T00:00:00"/>
    <n v="11"/>
    <s v="November"/>
    <s v="2013"/>
  </r>
  <r>
    <x v="3"/>
    <s v="Canada"/>
    <s v="Carretera"/>
    <s v="Low"/>
    <n v="742.5"/>
    <n v="3"/>
    <n v="125"/>
    <n v="92812.5"/>
    <n v="1856.25"/>
    <n v="90956.25"/>
    <n v="89100"/>
    <n v="1856.25"/>
    <n v="94594.5"/>
    <n v="-3638.25"/>
    <n v="-3.8461538461538464E-2"/>
    <d v="2014-04-01T00:00:00"/>
    <n v="4"/>
    <s v="April"/>
    <s v="2014"/>
  </r>
  <r>
    <x v="2"/>
    <s v="Canada"/>
    <s v="Carretera"/>
    <s v="Low"/>
    <n v="1295"/>
    <n v="3"/>
    <n v="12"/>
    <n v="15540"/>
    <n v="310.8"/>
    <n v="15229.2"/>
    <n v="3885"/>
    <n v="11344.2"/>
    <n v="13858.572000000002"/>
    <n v="1370.6279999999988"/>
    <n v="9.89010989010988E-2"/>
    <d v="2014-10-01T00:00:00"/>
    <n v="10"/>
    <s v="October"/>
    <s v="2014"/>
  </r>
  <r>
    <x v="4"/>
    <s v="Germany"/>
    <s v="Carretera"/>
    <s v="Low"/>
    <n v="214"/>
    <n v="3"/>
    <n v="300"/>
    <n v="64200"/>
    <n v="1284"/>
    <n v="62916"/>
    <n v="53500"/>
    <n v="9416"/>
    <n v="63545.16"/>
    <n v="-629.16000000000349"/>
    <n v="-9.9009900990099549E-3"/>
    <d v="2013-10-01T00:00:00"/>
    <n v="10"/>
    <s v="October"/>
    <s v="2013"/>
  </r>
  <r>
    <x v="0"/>
    <s v="France"/>
    <s v="Carretera"/>
    <s v="Low"/>
    <n v="2145"/>
    <n v="3"/>
    <n v="7"/>
    <n v="15015"/>
    <n v="300.3"/>
    <n v="14714.7"/>
    <n v="10725"/>
    <n v="3989.7000000000007"/>
    <n v="13684.671000000002"/>
    <n v="1030.0289999999986"/>
    <n v="7.5268817204300967E-2"/>
    <d v="2013-11-01T00:00:00"/>
    <n v="11"/>
    <s v="November"/>
    <s v="2013"/>
  </r>
  <r>
    <x v="0"/>
    <s v="Canada"/>
    <s v="Carretera"/>
    <s v="Low"/>
    <n v="2852"/>
    <n v="3"/>
    <n v="350"/>
    <n v="998200"/>
    <n v="19964"/>
    <n v="978236"/>
    <n v="741520"/>
    <n v="236716"/>
    <n v="1046712.52"/>
    <n v="-68476.520000000019"/>
    <n v="-6.5420560747663573E-2"/>
    <d v="2014-12-01T00:00:00"/>
    <n v="12"/>
    <s v="December"/>
    <s v="2014"/>
  </r>
  <r>
    <x v="2"/>
    <s v="United States of America"/>
    <s v="Montana"/>
    <s v="Low"/>
    <n v="1142"/>
    <n v="5"/>
    <n v="12"/>
    <n v="13704"/>
    <n v="274.08"/>
    <n v="13429.92"/>
    <n v="3426"/>
    <n v="10003.92"/>
    <n v="14101.416000000001"/>
    <n v="-671.496000000001"/>
    <n v="-4.7619047619047686E-2"/>
    <d v="2014-06-01T00:00:00"/>
    <n v="6"/>
    <s v="June"/>
    <s v="2014"/>
  </r>
  <r>
    <x v="0"/>
    <s v="United States of America"/>
    <s v="Montana"/>
    <s v="Low"/>
    <n v="1566"/>
    <n v="5"/>
    <n v="20"/>
    <n v="31320"/>
    <n v="626.4"/>
    <n v="30693.599999999999"/>
    <n v="15660"/>
    <n v="15033.599999999999"/>
    <n v="33149.088000000003"/>
    <n v="-2455.4880000000048"/>
    <n v="-7.4074074074074209E-2"/>
    <d v="2014-10-01T00:00:00"/>
    <n v="10"/>
    <s v="October"/>
    <s v="2014"/>
  </r>
  <r>
    <x v="2"/>
    <s v="Mexico"/>
    <s v="Montana"/>
    <s v="Low"/>
    <n v="690"/>
    <n v="5"/>
    <n v="12"/>
    <n v="8280"/>
    <n v="165.6"/>
    <n v="8114.4"/>
    <n v="2070"/>
    <n v="6044.4"/>
    <n v="8520.1200000000008"/>
    <n v="-405.72000000000116"/>
    <n v="-4.7619047619047748E-2"/>
    <d v="2014-11-01T00:00:00"/>
    <n v="11"/>
    <s v="November"/>
    <s v="2014"/>
  </r>
  <r>
    <x v="3"/>
    <s v="Mexico"/>
    <s v="Montana"/>
    <s v="Low"/>
    <n v="1660"/>
    <n v="5"/>
    <n v="125"/>
    <n v="207500"/>
    <n v="4150"/>
    <n v="203350"/>
    <n v="199200"/>
    <n v="4150"/>
    <n v="187082"/>
    <n v="16268"/>
    <n v="8.6956521739130432E-2"/>
    <d v="2013-11-01T00:00:00"/>
    <n v="11"/>
    <s v="November"/>
    <s v="2013"/>
  </r>
  <r>
    <x v="1"/>
    <s v="Canada"/>
    <s v="Paseo"/>
    <s v="Low"/>
    <n v="2363"/>
    <n v="10"/>
    <n v="15"/>
    <n v="35445"/>
    <n v="708.9"/>
    <n v="34736.1"/>
    <n v="23630"/>
    <n v="11106.099999999999"/>
    <n v="34041.377999999997"/>
    <n v="694.72200000000157"/>
    <n v="2.0408163265306169E-2"/>
    <d v="2014-02-01T00:00:00"/>
    <n v="2"/>
    <s v="February"/>
    <s v="2014"/>
  </r>
  <r>
    <x v="4"/>
    <s v="France"/>
    <s v="Paseo"/>
    <s v="Low"/>
    <n v="918"/>
    <n v="10"/>
    <n v="300"/>
    <n v="275400"/>
    <n v="5508"/>
    <n v="269892"/>
    <n v="229500"/>
    <n v="40392"/>
    <n v="253698.47999999998"/>
    <n v="16193.520000000019"/>
    <n v="6.3829787234042631E-2"/>
    <d v="2014-05-01T00:00:00"/>
    <n v="5"/>
    <s v="May"/>
    <s v="2014"/>
  </r>
  <r>
    <x v="4"/>
    <s v="Germany"/>
    <s v="Paseo"/>
    <s v="Low"/>
    <n v="1728"/>
    <n v="10"/>
    <n v="300"/>
    <n v="518400"/>
    <n v="10368"/>
    <n v="508032"/>
    <n v="432000"/>
    <n v="76032"/>
    <n v="579156.47999999998"/>
    <n v="-71124.479999999981"/>
    <n v="-0.12280701754385961"/>
    <d v="2014-05-01T00:00:00"/>
    <n v="5"/>
    <s v="May"/>
    <s v="2014"/>
  </r>
  <r>
    <x v="2"/>
    <s v="United States of America"/>
    <s v="Paseo"/>
    <s v="Low"/>
    <n v="1142"/>
    <n v="10"/>
    <n v="12"/>
    <n v="13704"/>
    <n v="274.08"/>
    <n v="13429.92"/>
    <n v="3426"/>
    <n v="10003.92"/>
    <n v="13564.2192"/>
    <n v="-134.29919999999947"/>
    <n v="-9.9009900990098629E-3"/>
    <d v="2014-06-01T00:00:00"/>
    <n v="6"/>
    <s v="June"/>
    <s v="2014"/>
  </r>
  <r>
    <x v="3"/>
    <s v="Mexico"/>
    <s v="Paseo"/>
    <s v="Low"/>
    <n v="662"/>
    <n v="10"/>
    <n v="125"/>
    <n v="82750"/>
    <n v="1655"/>
    <n v="81095"/>
    <n v="79440"/>
    <n v="1655"/>
    <n v="82716.899999999994"/>
    <n v="-1621.8999999999942"/>
    <n v="-1.9607843137254832E-2"/>
    <d v="2014-06-01T00:00:00"/>
    <n v="6"/>
    <s v="June"/>
    <s v="2014"/>
  </r>
  <r>
    <x v="2"/>
    <s v="Canada"/>
    <s v="Paseo"/>
    <s v="Low"/>
    <n v="1295"/>
    <n v="10"/>
    <n v="12"/>
    <n v="15540"/>
    <n v="310.8"/>
    <n v="15229.2"/>
    <n v="3885"/>
    <n v="11344.2"/>
    <n v="15838.368"/>
    <n v="-609.16799999999967"/>
    <n v="-3.8461538461538443E-2"/>
    <d v="2014-10-01T00:00:00"/>
    <n v="10"/>
    <s v="October"/>
    <s v="2014"/>
  </r>
  <r>
    <x v="3"/>
    <s v="Germany"/>
    <s v="Paseo"/>
    <s v="Low"/>
    <n v="809"/>
    <n v="10"/>
    <n v="125"/>
    <n v="101125"/>
    <n v="2022.5"/>
    <n v="99102.5"/>
    <n v="97080"/>
    <n v="2022.5"/>
    <n v="102075.575"/>
    <n v="-2973.0749999999971"/>
    <n v="-2.9126213592232983E-2"/>
    <d v="2013-10-01T00:00:00"/>
    <n v="10"/>
    <s v="October"/>
    <s v="2013"/>
  </r>
  <r>
    <x v="3"/>
    <s v="Mexico"/>
    <s v="Paseo"/>
    <s v="Low"/>
    <n v="2145"/>
    <n v="10"/>
    <n v="125"/>
    <n v="268125"/>
    <n v="5362.5"/>
    <n v="262762.5"/>
    <n v="257400"/>
    <n v="5362.5"/>
    <n v="294294"/>
    <n v="-31531.5"/>
    <n v="-0.10714285714285714"/>
    <d v="2013-10-01T00:00:00"/>
    <n v="10"/>
    <s v="October"/>
    <s v="2013"/>
  </r>
  <r>
    <x v="2"/>
    <s v="France"/>
    <s v="Paseo"/>
    <s v="Low"/>
    <n v="1785"/>
    <n v="10"/>
    <n v="12"/>
    <n v="21420"/>
    <n v="428.4"/>
    <n v="20991.599999999999"/>
    <n v="5355"/>
    <n v="15636.599999999999"/>
    <n v="23720.507999999994"/>
    <n v="-2728.9079999999958"/>
    <n v="-0.11504424778761047"/>
    <d v="2013-11-01T00:00:00"/>
    <n v="11"/>
    <s v="November"/>
    <s v="2013"/>
  </r>
  <r>
    <x v="4"/>
    <s v="Canada"/>
    <s v="Paseo"/>
    <s v="Low"/>
    <n v="1916"/>
    <n v="10"/>
    <n v="300"/>
    <n v="574800"/>
    <n v="11496"/>
    <n v="563304"/>
    <n v="479000"/>
    <n v="84304"/>
    <n v="478808.39999999997"/>
    <n v="84495.600000000035"/>
    <n v="0.17647058823529421"/>
    <d v="2014-12-01T00:00:00"/>
    <n v="12"/>
    <s v="December"/>
    <s v="2014"/>
  </r>
  <r>
    <x v="0"/>
    <s v="Canada"/>
    <s v="Paseo"/>
    <s v="Low"/>
    <n v="2852"/>
    <n v="10"/>
    <n v="350"/>
    <n v="998200"/>
    <n v="19964"/>
    <n v="978236"/>
    <n v="741520"/>
    <n v="236716"/>
    <n v="929324.2"/>
    <n v="48911.800000000047"/>
    <n v="5.2631578947368474E-2"/>
    <d v="2014-12-01T00:00:00"/>
    <n v="12"/>
    <s v="December"/>
    <s v="2014"/>
  </r>
  <r>
    <x v="3"/>
    <s v="Canada"/>
    <s v="Paseo"/>
    <s v="Low"/>
    <n v="2729"/>
    <n v="10"/>
    <n v="125"/>
    <n v="341125"/>
    <n v="6822.5"/>
    <n v="334302.5"/>
    <n v="327480"/>
    <n v="6822.5"/>
    <n v="304215.27500000002"/>
    <n v="30087.224999999977"/>
    <n v="9.8901098901098813E-2"/>
    <d v="2014-12-01T00:00:00"/>
    <n v="12"/>
    <s v="December"/>
    <s v="2014"/>
  </r>
  <r>
    <x v="1"/>
    <s v="United States of America"/>
    <s v="Paseo"/>
    <s v="Low"/>
    <n v="1925"/>
    <n v="10"/>
    <n v="15"/>
    <n v="28875"/>
    <n v="577.5"/>
    <n v="28297.5"/>
    <n v="19250"/>
    <n v="9047.5"/>
    <n v="26033.7"/>
    <n v="2263.7999999999993"/>
    <n v="8.6956521739130405E-2"/>
    <d v="2013-12-01T00:00:00"/>
    <n v="12"/>
    <s v="December"/>
    <s v="2013"/>
  </r>
  <r>
    <x v="0"/>
    <s v="United States of America"/>
    <s v="Paseo"/>
    <s v="Low"/>
    <n v="2013"/>
    <n v="10"/>
    <n v="7"/>
    <n v="14091"/>
    <n v="281.82"/>
    <n v="13809.18"/>
    <n v="10065"/>
    <n v="3744.1800000000003"/>
    <n v="14223.455400000001"/>
    <n v="-414.27540000000045"/>
    <n v="-2.9126213592233038E-2"/>
    <d v="2013-12-01T00:00:00"/>
    <n v="12"/>
    <s v="December"/>
    <s v="2013"/>
  </r>
  <r>
    <x v="2"/>
    <s v="France"/>
    <s v="Paseo"/>
    <s v="Low"/>
    <n v="1055"/>
    <n v="10"/>
    <n v="12"/>
    <n v="12660"/>
    <n v="253.2"/>
    <n v="12406.8"/>
    <n v="3165"/>
    <n v="9241.7999999999993"/>
    <n v="11290.188"/>
    <n v="1116.6119999999992"/>
    <n v="9.8901098901098827E-2"/>
    <d v="2014-12-01T00:00:00"/>
    <n v="12"/>
    <s v="December"/>
    <s v="2014"/>
  </r>
  <r>
    <x v="2"/>
    <s v="Mexico"/>
    <s v="Paseo"/>
    <s v="Low"/>
    <n v="1084"/>
    <n v="10"/>
    <n v="12"/>
    <n v="13008"/>
    <n v="260.16000000000003"/>
    <n v="12747.84"/>
    <n v="3252"/>
    <n v="9495.84"/>
    <n v="14277.580800000002"/>
    <n v="-1529.7408000000014"/>
    <n v="-0.10714285714285723"/>
    <d v="2014-12-01T00:00:00"/>
    <n v="12"/>
    <s v="December"/>
    <s v="2014"/>
  </r>
  <r>
    <x v="0"/>
    <s v="United States of America"/>
    <s v="Velo"/>
    <s v="Low"/>
    <n v="1566"/>
    <n v="120"/>
    <n v="20"/>
    <n v="31320"/>
    <n v="626.4"/>
    <n v="30693.599999999999"/>
    <n v="15660"/>
    <n v="15033.599999999999"/>
    <n v="33762.959999999999"/>
    <n v="-3069.3600000000006"/>
    <n v="-9.0909090909090925E-2"/>
    <d v="2014-10-01T00:00:00"/>
    <n v="10"/>
    <s v="October"/>
    <s v="2014"/>
  </r>
  <r>
    <x v="0"/>
    <s v="Germany"/>
    <s v="Velo"/>
    <s v="Low"/>
    <n v="2966"/>
    <n v="120"/>
    <n v="350"/>
    <n v="1038100"/>
    <n v="20762"/>
    <n v="1017338"/>
    <n v="771160"/>
    <n v="246178"/>
    <n v="1149591.94"/>
    <n v="-132253.93999999994"/>
    <n v="-0.11504424778761058"/>
    <d v="2013-10-01T00:00:00"/>
    <n v="10"/>
    <s v="October"/>
    <s v="2013"/>
  </r>
  <r>
    <x v="0"/>
    <s v="Germany"/>
    <s v="Velo"/>
    <s v="Low"/>
    <n v="2877"/>
    <n v="120"/>
    <n v="350"/>
    <n v="1006950"/>
    <n v="20139"/>
    <n v="986811"/>
    <n v="748020"/>
    <n v="238791"/>
    <n v="1124964.5399999998"/>
    <n v="-138153.5399999998"/>
    <n v="-0.1228070175438595"/>
    <d v="2014-10-01T00:00:00"/>
    <n v="10"/>
    <s v="October"/>
    <s v="2014"/>
  </r>
  <r>
    <x v="3"/>
    <s v="Germany"/>
    <s v="Velo"/>
    <s v="Low"/>
    <n v="809"/>
    <n v="120"/>
    <n v="125"/>
    <n v="101125"/>
    <n v="2022.5"/>
    <n v="99102.5"/>
    <n v="97080"/>
    <n v="2022.5"/>
    <n v="106039.675"/>
    <n v="-6937.1750000000029"/>
    <n v="-6.5420560747663573E-2"/>
    <d v="2013-10-01T00:00:00"/>
    <n v="10"/>
    <s v="October"/>
    <s v="2013"/>
  </r>
  <r>
    <x v="3"/>
    <s v="Mexico"/>
    <s v="Velo"/>
    <s v="Low"/>
    <n v="2145"/>
    <n v="120"/>
    <n v="125"/>
    <n v="268125"/>
    <n v="5362.5"/>
    <n v="262762.5"/>
    <n v="257400"/>
    <n v="5362.5"/>
    <n v="231231"/>
    <n v="31531.5"/>
    <n v="0.13636363636363635"/>
    <d v="2013-10-01T00:00:00"/>
    <n v="10"/>
    <s v="October"/>
    <s v="2013"/>
  </r>
  <r>
    <x v="2"/>
    <s v="France"/>
    <s v="Velo"/>
    <s v="Low"/>
    <n v="1055"/>
    <n v="120"/>
    <n v="12"/>
    <n v="12660"/>
    <n v="253.2"/>
    <n v="12406.8"/>
    <n v="3165"/>
    <n v="9241.7999999999993"/>
    <n v="13647.48"/>
    <n v="-1240.6800000000003"/>
    <n v="-9.0909090909090939E-2"/>
    <d v="2014-12-01T00:00:00"/>
    <n v="12"/>
    <s v="December"/>
    <s v="2014"/>
  </r>
  <r>
    <x v="0"/>
    <s v="Mexico"/>
    <s v="Velo"/>
    <s v="Low"/>
    <n v="544"/>
    <n v="120"/>
    <n v="20"/>
    <n v="10880"/>
    <n v="217.6"/>
    <n v="10662.4"/>
    <n v="5440"/>
    <n v="5222.3999999999996"/>
    <n v="9916.0320000000011"/>
    <n v="746.36799999999857"/>
    <n v="7.5268817204300925E-2"/>
    <d v="2013-12-01T00:00:00"/>
    <n v="12"/>
    <s v="December"/>
    <s v="2013"/>
  </r>
  <r>
    <x v="2"/>
    <s v="Mexico"/>
    <s v="Velo"/>
    <s v="Low"/>
    <n v="1084"/>
    <n v="120"/>
    <n v="12"/>
    <n v="13008"/>
    <n v="260.16000000000003"/>
    <n v="12747.84"/>
    <n v="3252"/>
    <n v="9495.84"/>
    <n v="13767.667200000002"/>
    <n v="-1019.8272000000015"/>
    <n v="-7.4074074074074181E-2"/>
    <d v="2014-12-01T00:00:00"/>
    <n v="12"/>
    <s v="December"/>
    <s v="2014"/>
  </r>
  <r>
    <x v="3"/>
    <s v="Mexico"/>
    <s v="VTT"/>
    <s v="Low"/>
    <n v="662"/>
    <n v="250"/>
    <n v="125"/>
    <n v="82750"/>
    <n v="1655"/>
    <n v="81095"/>
    <n v="79440"/>
    <n v="1655"/>
    <n v="93259.25"/>
    <n v="-12164.25"/>
    <n v="-0.13043478260869565"/>
    <d v="2014-06-01T00:00:00"/>
    <n v="6"/>
    <s v="June"/>
    <s v="2014"/>
  </r>
  <r>
    <x v="4"/>
    <s v="Germany"/>
    <s v="VTT"/>
    <s v="Low"/>
    <n v="214"/>
    <n v="250"/>
    <n v="300"/>
    <n v="64200"/>
    <n v="1284"/>
    <n v="62916"/>
    <n v="53500"/>
    <n v="9416"/>
    <n v="65432.639999999999"/>
    <n v="-2516.6399999999994"/>
    <n v="-3.846153846153845E-2"/>
    <d v="2013-10-01T00:00:00"/>
    <n v="10"/>
    <s v="October"/>
    <s v="2013"/>
  </r>
  <r>
    <x v="0"/>
    <s v="Germany"/>
    <s v="VTT"/>
    <s v="Low"/>
    <n v="2877"/>
    <n v="250"/>
    <n v="350"/>
    <n v="1006950"/>
    <n v="20139"/>
    <n v="986811"/>
    <n v="748020"/>
    <n v="238791"/>
    <n v="947338.55999999994"/>
    <n v="39472.440000000061"/>
    <n v="4.1666666666666734E-2"/>
    <d v="2014-10-01T00:00:00"/>
    <n v="10"/>
    <s v="October"/>
    <s v="2014"/>
  </r>
  <r>
    <x v="3"/>
    <s v="Canada"/>
    <s v="VTT"/>
    <s v="Low"/>
    <n v="2729"/>
    <n v="250"/>
    <n v="125"/>
    <n v="341125"/>
    <n v="6822.5"/>
    <n v="334302.5"/>
    <n v="327480"/>
    <n v="6822.5"/>
    <n v="330959.47499999998"/>
    <n v="3343.0250000000233"/>
    <n v="1.0101010101010171E-2"/>
    <d v="2014-12-01T00:00:00"/>
    <n v="12"/>
    <s v="December"/>
    <s v="2014"/>
  </r>
  <r>
    <x v="0"/>
    <s v="United States of America"/>
    <s v="VTT"/>
    <s v="Low"/>
    <n v="266"/>
    <n v="250"/>
    <n v="350"/>
    <n v="93100"/>
    <n v="1862"/>
    <n v="91238"/>
    <n v="69160"/>
    <n v="22078"/>
    <n v="104011.31999999999"/>
    <n v="-12773.319999999992"/>
    <n v="-0.12280701754385959"/>
    <d v="2013-12-01T00:00:00"/>
    <n v="12"/>
    <s v="December"/>
    <s v="2013"/>
  </r>
  <r>
    <x v="0"/>
    <s v="Mexico"/>
    <s v="VTT"/>
    <s v="Low"/>
    <n v="1940"/>
    <n v="250"/>
    <n v="350"/>
    <n v="679000"/>
    <n v="13580"/>
    <n v="665420"/>
    <n v="504400"/>
    <n v="161020"/>
    <n v="572261.19999999995"/>
    <n v="93158.800000000047"/>
    <n v="0.1627906976744187"/>
    <d v="2013-12-01T00:00:00"/>
    <n v="12"/>
    <s v="December"/>
    <s v="2013"/>
  </r>
  <r>
    <x v="4"/>
    <s v="Germany"/>
    <s v="Amarilla"/>
    <s v="Low"/>
    <n v="259"/>
    <n v="260"/>
    <n v="300"/>
    <n v="77700"/>
    <n v="1554"/>
    <n v="76146"/>
    <n v="64750"/>
    <n v="11396"/>
    <n v="79191.839999999997"/>
    <n v="-3045.8399999999965"/>
    <n v="-3.8461538461538422E-2"/>
    <d v="2014-03-01T00:00:00"/>
    <n v="3"/>
    <s v="March"/>
    <s v="2014"/>
  </r>
  <r>
    <x v="4"/>
    <s v="Mexico"/>
    <s v="Amarilla"/>
    <s v="Low"/>
    <n v="1101"/>
    <n v="260"/>
    <n v="300"/>
    <n v="330300"/>
    <n v="6606"/>
    <n v="323694"/>
    <n v="275250"/>
    <n v="48444"/>
    <n v="369011.16"/>
    <n v="-45317.159999999974"/>
    <n v="-0.12280701754385959"/>
    <d v="2014-03-01T00:00:00"/>
    <n v="3"/>
    <s v="March"/>
    <s v="2014"/>
  </r>
  <r>
    <x v="3"/>
    <s v="Germany"/>
    <s v="Amarilla"/>
    <s v="Low"/>
    <n v="2276"/>
    <n v="260"/>
    <n v="125"/>
    <n v="284500"/>
    <n v="5690"/>
    <n v="278810"/>
    <n v="273120"/>
    <n v="5690"/>
    <n v="320631.5"/>
    <n v="-41821.5"/>
    <n v="-0.13043478260869565"/>
    <d v="2014-05-01T00:00:00"/>
    <n v="5"/>
    <s v="May"/>
    <s v="2014"/>
  </r>
  <r>
    <x v="0"/>
    <s v="Germany"/>
    <s v="Amarilla"/>
    <s v="Low"/>
    <n v="2966"/>
    <n v="260"/>
    <n v="350"/>
    <n v="1038100"/>
    <n v="20762"/>
    <n v="1017338"/>
    <n v="771160"/>
    <n v="246178"/>
    <n v="956297.72"/>
    <n v="61040.280000000028"/>
    <n v="6.382978723404259E-2"/>
    <d v="2013-10-01T00:00:00"/>
    <n v="10"/>
    <s v="October"/>
    <s v="2013"/>
  </r>
  <r>
    <x v="0"/>
    <s v="United States of America"/>
    <s v="Amarilla"/>
    <s v="Low"/>
    <n v="1236"/>
    <n v="260"/>
    <n v="20"/>
    <n v="24720"/>
    <n v="494.4"/>
    <n v="24225.599999999999"/>
    <n v="12360"/>
    <n v="11865.599999999999"/>
    <n v="23983.343999999997"/>
    <n v="242.25600000000122"/>
    <n v="1.0101010101010154E-2"/>
    <d v="2014-11-01T00:00:00"/>
    <n v="11"/>
    <s v="November"/>
    <s v="2014"/>
  </r>
  <r>
    <x v="0"/>
    <s v="France"/>
    <s v="Amarilla"/>
    <s v="Low"/>
    <n v="941"/>
    <n v="260"/>
    <n v="20"/>
    <n v="18820"/>
    <n v="376.4"/>
    <n v="18443.599999999999"/>
    <n v="9410"/>
    <n v="9033.5999999999985"/>
    <n v="17705.856"/>
    <n v="737.74399999999878"/>
    <n v="4.1666666666666595E-2"/>
    <d v="2014-11-01T00:00:00"/>
    <n v="11"/>
    <s v="November"/>
    <s v="2014"/>
  </r>
  <r>
    <x v="4"/>
    <s v="Canada"/>
    <s v="Amarilla"/>
    <s v="Low"/>
    <n v="1916"/>
    <n v="260"/>
    <n v="300"/>
    <n v="574800"/>
    <n v="11496"/>
    <n v="563304"/>
    <n v="479000"/>
    <n v="84304"/>
    <n v="518239.68000000005"/>
    <n v="45064.319999999949"/>
    <n v="8.6956521739130321E-2"/>
    <d v="2014-12-01T00:00:00"/>
    <n v="12"/>
    <s v="December"/>
    <s v="2014"/>
  </r>
  <r>
    <x v="3"/>
    <s v="France"/>
    <s v="Carretera"/>
    <s v="Low"/>
    <n v="4243.5"/>
    <n v="3"/>
    <n v="125"/>
    <n v="530437.5"/>
    <n v="15913.125"/>
    <n v="514524.375"/>
    <n v="509220"/>
    <n v="5304.375"/>
    <n v="514524.375"/>
    <n v="0"/>
    <n v="0"/>
    <d v="2014-04-01T00:00:00"/>
    <n v="4"/>
    <s v="April"/>
    <s v="2014"/>
  </r>
  <r>
    <x v="0"/>
    <s v="Germany"/>
    <s v="Carretera"/>
    <s v="Low"/>
    <n v="2580"/>
    <n v="3"/>
    <n v="20"/>
    <n v="51600"/>
    <n v="1548"/>
    <n v="50052"/>
    <n v="25800"/>
    <n v="24252"/>
    <n v="50552.520000000004"/>
    <n v="-500.52000000000407"/>
    <n v="-9.9009900990099809E-3"/>
    <d v="2014-04-01T00:00:00"/>
    <n v="4"/>
    <s v="April"/>
    <s v="2014"/>
  </r>
  <r>
    <x v="4"/>
    <s v="Germany"/>
    <s v="Carretera"/>
    <s v="Low"/>
    <n v="689"/>
    <n v="3"/>
    <n v="300"/>
    <n v="206700"/>
    <n v="6201"/>
    <n v="200499"/>
    <n v="172250"/>
    <n v="28249"/>
    <n v="228568.86"/>
    <n v="-28069.859999999986"/>
    <n v="-0.1228070175438596"/>
    <d v="2014-06-01T00:00:00"/>
    <n v="6"/>
    <s v="June"/>
    <s v="2014"/>
  </r>
  <r>
    <x v="2"/>
    <s v="United States of America"/>
    <s v="Carretera"/>
    <s v="Low"/>
    <n v="1947"/>
    <n v="3"/>
    <n v="12"/>
    <n v="23364"/>
    <n v="700.92"/>
    <n v="22663.08"/>
    <n v="5841"/>
    <n v="16822.080000000002"/>
    <n v="21303.2952"/>
    <n v="1359.7848000000013"/>
    <n v="6.3829787234042618E-2"/>
    <d v="2014-09-01T00:00:00"/>
    <n v="9"/>
    <s v="September"/>
    <s v="2014"/>
  </r>
  <r>
    <x v="2"/>
    <s v="Canada"/>
    <s v="Carretera"/>
    <s v="Low"/>
    <n v="908"/>
    <n v="3"/>
    <n v="12"/>
    <n v="10896"/>
    <n v="326.88"/>
    <n v="10569.12"/>
    <n v="2724"/>
    <n v="7845.1200000000008"/>
    <n v="10569.12"/>
    <n v="0"/>
    <n v="0"/>
    <d v="2013-12-01T00:00:00"/>
    <n v="12"/>
    <s v="December"/>
    <s v="2013"/>
  </r>
  <r>
    <x v="0"/>
    <s v="Germany"/>
    <s v="Montana"/>
    <s v="Low"/>
    <n v="1958"/>
    <n v="5"/>
    <n v="7"/>
    <n v="13706"/>
    <n v="411.18"/>
    <n v="13294.82"/>
    <n v="9790"/>
    <n v="3504.8199999999997"/>
    <n v="13294.82"/>
    <n v="0"/>
    <n v="0"/>
    <d v="2014-02-01T00:00:00"/>
    <n v="2"/>
    <s v="February"/>
    <s v="2014"/>
  </r>
  <r>
    <x v="2"/>
    <s v="France"/>
    <s v="Montana"/>
    <s v="Low"/>
    <n v="1901"/>
    <n v="5"/>
    <n v="12"/>
    <n v="22812"/>
    <n v="684.36"/>
    <n v="22127.64"/>
    <n v="5703"/>
    <n v="16424.64"/>
    <n v="19251.0468"/>
    <n v="2876.5931999999993"/>
    <n v="0.1494252873563218"/>
    <d v="2014-06-01T00:00:00"/>
    <n v="6"/>
    <s v="June"/>
    <s v="2014"/>
  </r>
  <r>
    <x v="0"/>
    <s v="France"/>
    <s v="Montana"/>
    <s v="Low"/>
    <n v="544"/>
    <n v="5"/>
    <n v="7"/>
    <n v="3808"/>
    <n v="114.24"/>
    <n v="3693.76"/>
    <n v="2720"/>
    <n v="973.76000000000022"/>
    <n v="3730.6976000000004"/>
    <n v="-36.937600000000202"/>
    <n v="-9.9009900990099549E-3"/>
    <d v="2014-09-01T00:00:00"/>
    <n v="9"/>
    <s v="September"/>
    <s v="2014"/>
  </r>
  <r>
    <x v="0"/>
    <s v="Germany"/>
    <s v="Montana"/>
    <s v="Low"/>
    <n v="1797"/>
    <n v="5"/>
    <n v="350"/>
    <n v="628950"/>
    <n v="18868.5"/>
    <n v="610081.5"/>
    <n v="467220"/>
    <n v="142861.5"/>
    <n v="677190.46500000008"/>
    <n v="-67108.965000000084"/>
    <n v="-9.9099099099099211E-2"/>
    <d v="2013-09-01T00:00:00"/>
    <n v="9"/>
    <s v="September"/>
    <s v="2013"/>
  </r>
  <r>
    <x v="3"/>
    <s v="France"/>
    <s v="Montana"/>
    <s v="Low"/>
    <n v="1287"/>
    <n v="5"/>
    <n v="125"/>
    <n v="160875"/>
    <n v="4826.25"/>
    <n v="156048.75"/>
    <n v="154440"/>
    <n v="1608.75"/>
    <n v="173214.11250000002"/>
    <n v="-17165.362500000017"/>
    <n v="-9.9099099099099183E-2"/>
    <d v="2014-12-01T00:00:00"/>
    <n v="12"/>
    <s v="December"/>
    <s v="2014"/>
  </r>
  <r>
    <x v="3"/>
    <s v="Germany"/>
    <s v="Montana"/>
    <s v="Low"/>
    <n v="1706"/>
    <n v="5"/>
    <n v="125"/>
    <n v="213250"/>
    <n v="6397.5"/>
    <n v="206852.5"/>
    <n v="204720"/>
    <n v="2132.5"/>
    <n v="227537.75000000003"/>
    <n v="-20685.250000000029"/>
    <n v="-9.0909090909091023E-2"/>
    <d v="2014-12-01T00:00:00"/>
    <n v="12"/>
    <s v="December"/>
    <s v="2014"/>
  </r>
  <r>
    <x v="4"/>
    <s v="France"/>
    <s v="Paseo"/>
    <s v="Low"/>
    <n v="2434.5"/>
    <n v="10"/>
    <n v="300"/>
    <n v="730350"/>
    <n v="21910.5"/>
    <n v="708439.5"/>
    <n v="608625"/>
    <n v="99814.5"/>
    <n v="665933.13"/>
    <n v="42506.369999999995"/>
    <n v="6.3829787234042548E-2"/>
    <d v="2014-01-01T00:00:00"/>
    <n v="1"/>
    <s v="January"/>
    <s v="2014"/>
  </r>
  <r>
    <x v="3"/>
    <s v="Canada"/>
    <s v="Paseo"/>
    <s v="Low"/>
    <n v="1774"/>
    <n v="10"/>
    <n v="125"/>
    <n v="221750"/>
    <n v="6652.5"/>
    <n v="215097.5"/>
    <n v="212880"/>
    <n v="2217.5"/>
    <n v="215097.5"/>
    <n v="0"/>
    <n v="0"/>
    <d v="2014-03-01T00:00:00"/>
    <n v="3"/>
    <s v="March"/>
    <s v="2014"/>
  </r>
  <r>
    <x v="2"/>
    <s v="France"/>
    <s v="Paseo"/>
    <s v="Low"/>
    <n v="1901"/>
    <n v="10"/>
    <n v="12"/>
    <n v="22812"/>
    <n v="684.36"/>
    <n v="22127.64"/>
    <n v="5703"/>
    <n v="16424.64"/>
    <n v="20578.7052"/>
    <n v="1548.9347999999991"/>
    <n v="7.5268817204301036E-2"/>
    <d v="2014-06-01T00:00:00"/>
    <n v="6"/>
    <s v="June"/>
    <s v="2014"/>
  </r>
  <r>
    <x v="4"/>
    <s v="Germany"/>
    <s v="Paseo"/>
    <s v="Low"/>
    <n v="689"/>
    <n v="10"/>
    <n v="300"/>
    <n v="206700"/>
    <n v="6201"/>
    <n v="200499"/>
    <n v="172250"/>
    <n v="28249"/>
    <n v="170424.15"/>
    <n v="30074.850000000006"/>
    <n v="0.17647058823529416"/>
    <d v="2014-06-01T00:00:00"/>
    <n v="6"/>
    <s v="June"/>
    <s v="2014"/>
  </r>
  <r>
    <x v="3"/>
    <s v="Germany"/>
    <s v="Paseo"/>
    <s v="Low"/>
    <n v="1570"/>
    <n v="10"/>
    <n v="125"/>
    <n v="196250"/>
    <n v="5887.5"/>
    <n v="190362.5"/>
    <n v="188400"/>
    <n v="1962.5"/>
    <n v="163711.75"/>
    <n v="26650.75"/>
    <n v="0.16279069767441862"/>
    <d v="2014-06-01T00:00:00"/>
    <n v="6"/>
    <s v="June"/>
    <s v="2014"/>
  </r>
  <r>
    <x v="2"/>
    <s v="United States of America"/>
    <s v="Paseo"/>
    <s v="Low"/>
    <n v="1369.5"/>
    <n v="10"/>
    <n v="12"/>
    <n v="16434"/>
    <n v="493.02"/>
    <n v="15940.98"/>
    <n v="4108.5"/>
    <n v="11832.48"/>
    <n v="16578.619200000001"/>
    <n v="-637.63920000000144"/>
    <n v="-3.8461538461538547E-2"/>
    <d v="2014-07-01T00:00:00"/>
    <n v="7"/>
    <s v="July"/>
    <s v="2014"/>
  </r>
  <r>
    <x v="3"/>
    <s v="Canada"/>
    <s v="Paseo"/>
    <s v="Low"/>
    <n v="2009"/>
    <n v="10"/>
    <n v="125"/>
    <n v="251125"/>
    <n v="7533.75"/>
    <n v="243591.25"/>
    <n v="241080"/>
    <n v="2511.25"/>
    <n v="226539.86250000002"/>
    <n v="17051.387499999983"/>
    <n v="7.5268817204300995E-2"/>
    <d v="2014-10-01T00:00:00"/>
    <n v="10"/>
    <s v="October"/>
    <s v="2014"/>
  </r>
  <r>
    <x v="1"/>
    <s v="Germany"/>
    <s v="Paseo"/>
    <s v="Low"/>
    <n v="1945"/>
    <n v="10"/>
    <n v="15"/>
    <n v="29175"/>
    <n v="875.25"/>
    <n v="28299.75"/>
    <n v="19450"/>
    <n v="8849.75"/>
    <n v="31129.725000000002"/>
    <n v="-2829.9750000000022"/>
    <n v="-9.0909090909090967E-2"/>
    <d v="2013-10-01T00:00:00"/>
    <n v="10"/>
    <s v="October"/>
    <s v="2013"/>
  </r>
  <r>
    <x v="3"/>
    <s v="France"/>
    <s v="Paseo"/>
    <s v="Low"/>
    <n v="1287"/>
    <n v="10"/>
    <n v="125"/>
    <n v="160875"/>
    <n v="4826.25"/>
    <n v="156048.75"/>
    <n v="154440"/>
    <n v="1608.75"/>
    <n v="170093.13750000001"/>
    <n v="-14044.387500000012"/>
    <n v="-8.2568807339449601E-2"/>
    <d v="2014-12-01T00:00:00"/>
    <n v="12"/>
    <s v="December"/>
    <s v="2014"/>
  </r>
  <r>
    <x v="3"/>
    <s v="Germany"/>
    <s v="Paseo"/>
    <s v="Low"/>
    <n v="1706"/>
    <n v="10"/>
    <n v="125"/>
    <n v="213250"/>
    <n v="6397.5"/>
    <n v="206852.5"/>
    <n v="204720"/>
    <n v="2132.5"/>
    <n v="190304.30000000002"/>
    <n v="16548.199999999983"/>
    <n v="8.6956521739130335E-2"/>
    <d v="2014-12-01T00:00:00"/>
    <n v="12"/>
    <s v="December"/>
    <s v="2014"/>
  </r>
  <r>
    <x v="3"/>
    <s v="Canada"/>
    <s v="Velo"/>
    <s v="Low"/>
    <n v="2009"/>
    <n v="120"/>
    <n v="125"/>
    <n v="251125"/>
    <n v="7533.75"/>
    <n v="243591.25"/>
    <n v="241080"/>
    <n v="2511.25"/>
    <n v="214360.3"/>
    <n v="29230.950000000012"/>
    <n v="0.13636363636363644"/>
    <d v="2014-10-01T00:00:00"/>
    <n v="10"/>
    <s v="October"/>
    <s v="2014"/>
  </r>
  <r>
    <x v="4"/>
    <s v="United States of America"/>
    <s v="VTT"/>
    <s v="Low"/>
    <n v="2844"/>
    <n v="250"/>
    <n v="300"/>
    <n v="853200"/>
    <n v="25596"/>
    <n v="827604"/>
    <n v="711000"/>
    <n v="116604"/>
    <n v="811051.92"/>
    <n v="16552.079999999958"/>
    <n v="2.0408163265306069E-2"/>
    <d v="2014-02-01T00:00:00"/>
    <n v="2"/>
    <s v="February"/>
    <s v="2014"/>
  </r>
  <r>
    <x v="2"/>
    <s v="Mexico"/>
    <s v="VTT"/>
    <s v="Low"/>
    <n v="1916"/>
    <n v="250"/>
    <n v="12"/>
    <n v="22992"/>
    <n v="689.76"/>
    <n v="22302.240000000002"/>
    <n v="5748"/>
    <n v="16554.240000000002"/>
    <n v="19179.9264"/>
    <n v="3122.3136000000013"/>
    <n v="0.16279069767441867"/>
    <d v="2014-04-01T00:00:00"/>
    <n v="4"/>
    <s v="April"/>
    <s v="2014"/>
  </r>
  <r>
    <x v="3"/>
    <s v="Germany"/>
    <s v="VTT"/>
    <s v="Low"/>
    <n v="1570"/>
    <n v="250"/>
    <n v="125"/>
    <n v="196250"/>
    <n v="5887.5"/>
    <n v="190362.5"/>
    <n v="188400"/>
    <n v="1962.5"/>
    <n v="163711.75"/>
    <n v="26650.75"/>
    <n v="0.16279069767441862"/>
    <d v="2014-06-01T00:00:00"/>
    <n v="6"/>
    <s v="June"/>
    <s v="2014"/>
  </r>
  <r>
    <x v="4"/>
    <s v="Canada"/>
    <s v="VTT"/>
    <s v="Low"/>
    <n v="1874"/>
    <n v="250"/>
    <n v="300"/>
    <n v="562200"/>
    <n v="16866"/>
    <n v="545334"/>
    <n v="468500"/>
    <n v="76834"/>
    <n v="621680.75999999989"/>
    <n v="-76346.759999999893"/>
    <n v="-0.1228070175438595"/>
    <d v="2014-08-01T00:00:00"/>
    <n v="8"/>
    <s v="August"/>
    <s v="2014"/>
  </r>
  <r>
    <x v="0"/>
    <s v="Mexico"/>
    <s v="VTT"/>
    <s v="Low"/>
    <n v="1642"/>
    <n v="250"/>
    <n v="350"/>
    <n v="574700"/>
    <n v="17241"/>
    <n v="557459"/>
    <n v="426920"/>
    <n v="130539"/>
    <n v="540735.23"/>
    <n v="16723.770000000019"/>
    <n v="3.0927835051546428E-2"/>
    <d v="2014-08-01T00:00:00"/>
    <n v="8"/>
    <s v="August"/>
    <s v="2014"/>
  </r>
  <r>
    <x v="1"/>
    <s v="Germany"/>
    <s v="VTT"/>
    <s v="Low"/>
    <n v="1945"/>
    <n v="250"/>
    <n v="15"/>
    <n v="29175"/>
    <n v="875.25"/>
    <n v="28299.75"/>
    <n v="19450"/>
    <n v="8849.75"/>
    <n v="27733.755000000001"/>
    <n v="565.99499999999898"/>
    <n v="2.0408163265306086E-2"/>
    <d v="2013-10-01T00:00:00"/>
    <n v="10"/>
    <s v="October"/>
    <s v="2013"/>
  </r>
  <r>
    <x v="0"/>
    <s v="Canada"/>
    <s v="Carretera"/>
    <s v="Low"/>
    <n v="831"/>
    <n v="3"/>
    <n v="20"/>
    <n v="16620"/>
    <n v="498.6"/>
    <n v="16121.4"/>
    <n v="8310"/>
    <n v="7811.4"/>
    <n v="16927.47"/>
    <n v="-806.07000000000153"/>
    <n v="-4.7619047619047707E-2"/>
    <d v="2014-05-01T00:00:00"/>
    <n v="5"/>
    <s v="May"/>
    <s v="2014"/>
  </r>
  <r>
    <x v="0"/>
    <s v="Mexico"/>
    <s v="Paseo"/>
    <s v="Low"/>
    <n v="1760"/>
    <n v="10"/>
    <n v="7"/>
    <n v="12320"/>
    <n v="369.6"/>
    <n v="11950.4"/>
    <n v="8800"/>
    <n v="3150.3999999999996"/>
    <n v="12547.92"/>
    <n v="-597.52000000000044"/>
    <n v="-4.7619047619047651E-2"/>
    <d v="2013-09-01T00:00:00"/>
    <n v="9"/>
    <s v="September"/>
    <s v="2013"/>
  </r>
  <r>
    <x v="0"/>
    <s v="Canada"/>
    <s v="Velo"/>
    <s v="Low"/>
    <n v="3850.5"/>
    <n v="120"/>
    <n v="20"/>
    <n v="77010"/>
    <n v="2310.3000000000002"/>
    <n v="74699.700000000012"/>
    <n v="38505"/>
    <n v="36194.700000000004"/>
    <n v="73952.703000000009"/>
    <n v="746.99700000000303"/>
    <n v="1.010101010101014E-2"/>
    <d v="2014-04-01T00:00:00"/>
    <n v="4"/>
    <s v="April"/>
    <s v="2014"/>
  </r>
  <r>
    <x v="2"/>
    <s v="Germany"/>
    <s v="VTT"/>
    <s v="Low"/>
    <n v="2479"/>
    <n v="250"/>
    <n v="12"/>
    <n v="29748"/>
    <n v="892.44"/>
    <n v="28855.56"/>
    <n v="7437"/>
    <n v="21418.560000000001"/>
    <n v="27701.337599999999"/>
    <n v="1154.2224000000024"/>
    <n v="4.1666666666666755E-2"/>
    <d v="2014-01-01T00:00:00"/>
    <n v="1"/>
    <s v="January"/>
    <s v="2014"/>
  </r>
  <r>
    <x v="1"/>
    <s v="Mexico"/>
    <s v="Montana"/>
    <s v="Low"/>
    <n v="2031"/>
    <n v="5"/>
    <n v="15"/>
    <n v="30465"/>
    <n v="1218.5999999999999"/>
    <n v="29246.400000000001"/>
    <n v="20310"/>
    <n v="8936.4000000000015"/>
    <n v="30416.256000000001"/>
    <n v="-1169.8559999999998"/>
    <n v="-3.846153846153845E-2"/>
    <d v="2014-10-01T00:00:00"/>
    <n v="10"/>
    <s v="October"/>
    <s v="2014"/>
  </r>
  <r>
    <x v="1"/>
    <s v="Mexico"/>
    <s v="Paseo"/>
    <s v="Low"/>
    <n v="2031"/>
    <n v="10"/>
    <n v="15"/>
    <n v="30465"/>
    <n v="1218.5999999999999"/>
    <n v="29246.400000000001"/>
    <n v="20310"/>
    <n v="8936.4000000000015"/>
    <n v="29538.864000000001"/>
    <n v="-292.46399999999994"/>
    <n v="-9.9009900990098994E-3"/>
    <d v="2014-10-01T00:00:00"/>
    <n v="10"/>
    <s v="October"/>
    <s v="2014"/>
  </r>
  <r>
    <x v="1"/>
    <s v="France"/>
    <s v="Paseo"/>
    <s v="Low"/>
    <n v="2261"/>
    <n v="10"/>
    <n v="15"/>
    <n v="33915"/>
    <n v="1356.6"/>
    <n v="32558.400000000001"/>
    <n v="22610"/>
    <n v="9948.4000000000015"/>
    <n v="33535.152000000002"/>
    <n v="-976.75200000000041"/>
    <n v="-2.9126213592233021E-2"/>
    <d v="2013-12-01T00:00:00"/>
    <n v="12"/>
    <s v="December"/>
    <s v="2013"/>
  </r>
  <r>
    <x v="0"/>
    <s v="United States of America"/>
    <s v="Velo"/>
    <s v="Low"/>
    <n v="736"/>
    <n v="120"/>
    <n v="20"/>
    <n v="14720"/>
    <n v="588.79999999999995"/>
    <n v="14131.2"/>
    <n v="7360"/>
    <n v="6771.2000000000007"/>
    <n v="15261.696000000002"/>
    <n v="-1130.496000000001"/>
    <n v="-7.4074074074074125E-2"/>
    <d v="2013-09-01T00:00:00"/>
    <n v="9"/>
    <s v="September"/>
    <s v="2013"/>
  </r>
  <r>
    <x v="0"/>
    <s v="Canada"/>
    <s v="Carretera"/>
    <s v="Low"/>
    <n v="2851"/>
    <n v="3"/>
    <n v="7"/>
    <n v="19957"/>
    <n v="798.28"/>
    <n v="19158.72"/>
    <n v="14255"/>
    <n v="4903.7200000000012"/>
    <n v="19158.72"/>
    <n v="0"/>
    <n v="0"/>
    <d v="2013-10-01T00:00:00"/>
    <n v="10"/>
    <s v="October"/>
    <s v="2013"/>
  </r>
  <r>
    <x v="4"/>
    <s v="Germany"/>
    <s v="Carretera"/>
    <s v="Low"/>
    <n v="2021"/>
    <n v="3"/>
    <n v="300"/>
    <n v="606300"/>
    <n v="24252"/>
    <n v="582048"/>
    <n v="505250"/>
    <n v="76798"/>
    <n v="523843.2"/>
    <n v="58204.799999999988"/>
    <n v="0.11111111111111109"/>
    <d v="2014-10-01T00:00:00"/>
    <n v="10"/>
    <s v="October"/>
    <s v="2014"/>
  </r>
  <r>
    <x v="0"/>
    <s v="United States of America"/>
    <s v="Carretera"/>
    <s v="Low"/>
    <n v="274"/>
    <n v="3"/>
    <n v="350"/>
    <n v="95900"/>
    <n v="3836"/>
    <n v="92064"/>
    <n v="71240"/>
    <n v="20824"/>
    <n v="95746.559999999998"/>
    <n v="-3682.5599999999977"/>
    <n v="-3.8461538461538436E-2"/>
    <d v="2014-12-01T00:00:00"/>
    <n v="12"/>
    <s v="December"/>
    <s v="2014"/>
  </r>
  <r>
    <x v="1"/>
    <s v="Canada"/>
    <s v="Montana"/>
    <s v="Low"/>
    <n v="1967"/>
    <n v="5"/>
    <n v="15"/>
    <n v="29505"/>
    <n v="1180.2"/>
    <n v="28324.799999999999"/>
    <n v="19670"/>
    <n v="8654.7999999999993"/>
    <n v="28891.295999999998"/>
    <n v="-566.49599999999919"/>
    <n v="-1.9607843137254874E-2"/>
    <d v="2014-03-01T00:00:00"/>
    <n v="3"/>
    <s v="March"/>
    <s v="2014"/>
  </r>
  <r>
    <x v="4"/>
    <s v="Germany"/>
    <s v="Montana"/>
    <s v="Low"/>
    <n v="1859"/>
    <n v="5"/>
    <n v="300"/>
    <n v="557700"/>
    <n v="22308"/>
    <n v="535392"/>
    <n v="464750"/>
    <n v="70642"/>
    <n v="578223.35999999999"/>
    <n v="-42831.359999999986"/>
    <n v="-7.4074074074074056E-2"/>
    <d v="2014-08-01T00:00:00"/>
    <n v="8"/>
    <s v="August"/>
    <s v="2014"/>
  </r>
  <r>
    <x v="0"/>
    <s v="Canada"/>
    <s v="Montana"/>
    <s v="Low"/>
    <n v="2851"/>
    <n v="5"/>
    <n v="7"/>
    <n v="19957"/>
    <n v="798.28"/>
    <n v="19158.72"/>
    <n v="14255"/>
    <n v="4903.7200000000012"/>
    <n v="20308.243200000001"/>
    <n v="-1149.5231999999996"/>
    <n v="-5.6603773584905641E-2"/>
    <d v="2013-10-01T00:00:00"/>
    <n v="10"/>
    <s v="October"/>
    <s v="2013"/>
  </r>
  <r>
    <x v="4"/>
    <s v="Germany"/>
    <s v="Montana"/>
    <s v="Low"/>
    <n v="2021"/>
    <n v="5"/>
    <n v="300"/>
    <n v="606300"/>
    <n v="24252"/>
    <n v="582048"/>
    <n v="505250"/>
    <n v="76798"/>
    <n v="605329.92000000004"/>
    <n v="-23281.920000000042"/>
    <n v="-3.8461538461538526E-2"/>
    <d v="2014-10-01T00:00:00"/>
    <n v="10"/>
    <s v="October"/>
    <s v="2014"/>
  </r>
  <r>
    <x v="3"/>
    <s v="Mexico"/>
    <s v="Montana"/>
    <s v="Low"/>
    <n v="1138"/>
    <n v="5"/>
    <n v="125"/>
    <n v="142250"/>
    <n v="5690"/>
    <n v="136560"/>
    <n v="136560"/>
    <n v="0"/>
    <n v="152947.20000000001"/>
    <n v="-16387.200000000012"/>
    <n v="-0.10714285714285721"/>
    <d v="2014-12-01T00:00:00"/>
    <n v="12"/>
    <s v="December"/>
    <s v="2014"/>
  </r>
  <r>
    <x v="0"/>
    <s v="Canada"/>
    <s v="Paseo"/>
    <s v="Low"/>
    <n v="4251"/>
    <n v="10"/>
    <n v="7"/>
    <n v="29757"/>
    <n v="1190.28"/>
    <n v="28566.720000000001"/>
    <n v="21255"/>
    <n v="7311.7199999999993"/>
    <n v="25138.713600000003"/>
    <n v="3428.0063999999984"/>
    <n v="0.1363636363636363"/>
    <d v="2014-01-01T00:00:00"/>
    <n v="1"/>
    <s v="January"/>
    <s v="2014"/>
  </r>
  <r>
    <x v="3"/>
    <s v="Germany"/>
    <s v="Paseo"/>
    <s v="Low"/>
    <n v="795"/>
    <n v="10"/>
    <n v="125"/>
    <n v="99375"/>
    <n v="3975"/>
    <n v="95400"/>
    <n v="95400"/>
    <n v="0"/>
    <n v="85860"/>
    <n v="9540"/>
    <n v="0.1111111111111111"/>
    <d v="2014-03-01T00:00:00"/>
    <n v="3"/>
    <s v="March"/>
    <s v="2014"/>
  </r>
  <r>
    <x v="4"/>
    <s v="Germany"/>
    <s v="Paseo"/>
    <s v="Low"/>
    <n v="1414.5"/>
    <n v="10"/>
    <n v="300"/>
    <n v="424350"/>
    <n v="16974"/>
    <n v="407376"/>
    <n v="353625"/>
    <n v="53751"/>
    <n v="460334.87999999995"/>
    <n v="-52958.879999999946"/>
    <n v="-0.11504424778761052"/>
    <d v="2014-04-01T00:00:00"/>
    <n v="4"/>
    <s v="April"/>
    <s v="2014"/>
  </r>
  <r>
    <x v="4"/>
    <s v="United States of America"/>
    <s v="Paseo"/>
    <s v="Low"/>
    <n v="2918"/>
    <n v="10"/>
    <n v="300"/>
    <n v="875400"/>
    <n v="35016"/>
    <n v="840384"/>
    <n v="729500"/>
    <n v="110884"/>
    <n v="857191.68"/>
    <n v="-16807.680000000051"/>
    <n v="-1.9607843137254961E-2"/>
    <d v="2014-05-01T00:00:00"/>
    <n v="5"/>
    <s v="May"/>
    <s v="2014"/>
  </r>
  <r>
    <x v="0"/>
    <s v="United States of America"/>
    <s v="Paseo"/>
    <s v="Low"/>
    <n v="3450"/>
    <n v="10"/>
    <n v="350"/>
    <n v="1207500"/>
    <n v="48300"/>
    <n v="1159200"/>
    <n v="897000"/>
    <n v="262200"/>
    <n v="1217160"/>
    <n v="-57960"/>
    <n v="-4.7619047619047616E-2"/>
    <d v="2014-07-01T00:00:00"/>
    <n v="7"/>
    <s v="July"/>
    <s v="2014"/>
  </r>
  <r>
    <x v="3"/>
    <s v="France"/>
    <s v="Paseo"/>
    <s v="Low"/>
    <n v="2988"/>
    <n v="10"/>
    <n v="125"/>
    <n v="373500"/>
    <n v="14940"/>
    <n v="358560"/>
    <n v="358560"/>
    <n v="0"/>
    <n v="383659.2"/>
    <n v="-25099.200000000012"/>
    <n v="-6.5420560747663586E-2"/>
    <d v="2014-07-01T00:00:00"/>
    <n v="7"/>
    <s v="July"/>
    <s v="2014"/>
  </r>
  <r>
    <x v="1"/>
    <s v="Canada"/>
    <s v="Paseo"/>
    <s v="Low"/>
    <n v="218"/>
    <n v="10"/>
    <n v="15"/>
    <n v="3270"/>
    <n v="130.80000000000001"/>
    <n v="3139.2"/>
    <n v="2180"/>
    <n v="959.19999999999982"/>
    <n v="2950.8479999999995"/>
    <n v="188.35200000000032"/>
    <n v="6.3829787234042673E-2"/>
    <d v="2014-09-01T00:00:00"/>
    <n v="9"/>
    <s v="September"/>
    <s v="2014"/>
  </r>
  <r>
    <x v="0"/>
    <s v="Canada"/>
    <s v="Paseo"/>
    <s v="Low"/>
    <n v="2074"/>
    <n v="10"/>
    <n v="20"/>
    <n v="41480"/>
    <n v="1659.2"/>
    <n v="39820.800000000003"/>
    <n v="20740"/>
    <n v="19080.800000000003"/>
    <n v="39024.384000000005"/>
    <n v="796.41599999999744"/>
    <n v="2.0408163265306055E-2"/>
    <d v="2014-09-01T00:00:00"/>
    <n v="9"/>
    <s v="September"/>
    <s v="2014"/>
  </r>
  <r>
    <x v="0"/>
    <s v="United States of America"/>
    <s v="Paseo"/>
    <s v="Low"/>
    <n v="1056"/>
    <n v="10"/>
    <n v="20"/>
    <n v="21120"/>
    <n v="844.8"/>
    <n v="20275.2"/>
    <n v="10560"/>
    <n v="9715.2000000000007"/>
    <n v="22708.224000000002"/>
    <n v="-2433.0240000000013"/>
    <n v="-0.10714285714285719"/>
    <d v="2014-09-01T00:00:00"/>
    <n v="9"/>
    <s v="September"/>
    <s v="2014"/>
  </r>
  <r>
    <x v="1"/>
    <s v="United States of America"/>
    <s v="Paseo"/>
    <s v="Low"/>
    <n v="671"/>
    <n v="10"/>
    <n v="15"/>
    <n v="10065"/>
    <n v="402.6"/>
    <n v="9662.4"/>
    <n v="6710"/>
    <n v="2952.3999999999996"/>
    <n v="9662.4"/>
    <n v="0"/>
    <n v="0"/>
    <d v="2013-10-01T00:00:00"/>
    <n v="10"/>
    <s v="October"/>
    <s v="2013"/>
  </r>
  <r>
    <x v="1"/>
    <s v="Mexico"/>
    <s v="Paseo"/>
    <s v="Low"/>
    <n v="1514"/>
    <n v="10"/>
    <n v="15"/>
    <n v="22710"/>
    <n v="908.4"/>
    <n v="21801.599999999999"/>
    <n v="15140"/>
    <n v="6661.5999999999985"/>
    <n v="23545.727999999999"/>
    <n v="-1744.1280000000006"/>
    <n v="-7.4074074074074098E-2"/>
    <d v="2013-10-01T00:00:00"/>
    <n v="10"/>
    <s v="October"/>
    <s v="2013"/>
  </r>
  <r>
    <x v="0"/>
    <s v="United States of America"/>
    <s v="Paseo"/>
    <s v="Low"/>
    <n v="274"/>
    <n v="10"/>
    <n v="350"/>
    <n v="95900"/>
    <n v="3836"/>
    <n v="92064"/>
    <n v="71240"/>
    <n v="20824"/>
    <n v="91143.360000000001"/>
    <n v="920.63999999999942"/>
    <n v="1.0101010101010095E-2"/>
    <d v="2014-12-01T00:00:00"/>
    <n v="12"/>
    <s v="December"/>
    <s v="2014"/>
  </r>
  <r>
    <x v="3"/>
    <s v="Mexico"/>
    <s v="Paseo"/>
    <s v="Low"/>
    <n v="1138"/>
    <n v="10"/>
    <n v="125"/>
    <n v="142250"/>
    <n v="5690"/>
    <n v="136560"/>
    <n v="136560"/>
    <n v="0"/>
    <n v="127000.8"/>
    <n v="9559.1999999999971"/>
    <n v="7.526881720430105E-2"/>
    <d v="2014-12-01T00:00:00"/>
    <n v="12"/>
    <s v="December"/>
    <s v="2014"/>
  </r>
  <r>
    <x v="2"/>
    <s v="United States of America"/>
    <s v="Velo"/>
    <s v="Low"/>
    <n v="1465"/>
    <n v="120"/>
    <n v="12"/>
    <n v="17580"/>
    <n v="703.2"/>
    <n v="16876.8"/>
    <n v="4395"/>
    <n v="12481.8"/>
    <n v="18733.248"/>
    <n v="-1856.4480000000003"/>
    <n v="-9.9099099099099114E-2"/>
    <d v="2014-03-01T00:00:00"/>
    <n v="3"/>
    <s v="March"/>
    <s v="2014"/>
  </r>
  <r>
    <x v="0"/>
    <s v="Canada"/>
    <s v="Velo"/>
    <s v="Low"/>
    <n v="2646"/>
    <n v="120"/>
    <n v="20"/>
    <n v="52920"/>
    <n v="2116.8000000000002"/>
    <n v="50803.199999999997"/>
    <n v="26460"/>
    <n v="24343.199999999997"/>
    <n v="53343.360000000001"/>
    <n v="-2540.1600000000035"/>
    <n v="-4.7619047619047686E-2"/>
    <d v="2013-09-01T00:00:00"/>
    <n v="9"/>
    <s v="September"/>
    <s v="2013"/>
  </r>
  <r>
    <x v="0"/>
    <s v="France"/>
    <s v="Velo"/>
    <s v="Low"/>
    <n v="2177"/>
    <n v="120"/>
    <n v="350"/>
    <n v="761950"/>
    <n v="30478"/>
    <n v="731472"/>
    <n v="566020"/>
    <n v="165452"/>
    <n v="731472"/>
    <n v="0"/>
    <n v="0"/>
    <d v="2014-10-01T00:00:00"/>
    <n v="10"/>
    <s v="October"/>
    <s v="2014"/>
  </r>
  <r>
    <x v="2"/>
    <s v="France"/>
    <s v="VTT"/>
    <s v="Low"/>
    <n v="866"/>
    <n v="250"/>
    <n v="12"/>
    <n v="10392"/>
    <n v="415.68"/>
    <n v="9976.32"/>
    <n v="2598"/>
    <n v="7378.32"/>
    <n v="9078.4511999999995"/>
    <n v="897.86880000000019"/>
    <n v="9.8901098901098924E-2"/>
    <d v="2014-05-01T00:00:00"/>
    <n v="5"/>
    <s v="May"/>
    <s v="2014"/>
  </r>
  <r>
    <x v="0"/>
    <s v="United States of America"/>
    <s v="VTT"/>
    <s v="Low"/>
    <n v="349"/>
    <n v="250"/>
    <n v="350"/>
    <n v="122150"/>
    <n v="4886"/>
    <n v="117264"/>
    <n v="90740"/>
    <n v="26524"/>
    <n v="116091.36"/>
    <n v="1172.6399999999994"/>
    <n v="1.0101010101010097E-2"/>
    <d v="2013-09-01T00:00:00"/>
    <n v="9"/>
    <s v="September"/>
    <s v="2013"/>
  </r>
  <r>
    <x v="0"/>
    <s v="France"/>
    <s v="VTT"/>
    <s v="Low"/>
    <n v="2177"/>
    <n v="250"/>
    <n v="350"/>
    <n v="761950"/>
    <n v="30478"/>
    <n v="731472"/>
    <n v="566020"/>
    <n v="165452"/>
    <n v="716842.55999999994"/>
    <n v="14629.440000000061"/>
    <n v="2.0408163265306208E-2"/>
    <d v="2014-10-01T00:00:00"/>
    <n v="10"/>
    <s v="October"/>
    <s v="2014"/>
  </r>
  <r>
    <x v="1"/>
    <s v="Mexico"/>
    <s v="VTT"/>
    <s v="Low"/>
    <n v="1514"/>
    <n v="250"/>
    <n v="15"/>
    <n v="22710"/>
    <n v="908.4"/>
    <n v="21801.599999999999"/>
    <n v="15140"/>
    <n v="6661.5999999999985"/>
    <n v="19621.439999999999"/>
    <n v="2180.16"/>
    <n v="0.1111111111111111"/>
    <d v="2013-10-01T00:00:00"/>
    <n v="10"/>
    <s v="October"/>
    <s v="2013"/>
  </r>
  <r>
    <x v="0"/>
    <s v="Mexico"/>
    <s v="Amarilla"/>
    <s v="Low"/>
    <n v="1865"/>
    <n v="260"/>
    <n v="350"/>
    <n v="652750"/>
    <n v="26110"/>
    <n v="626640"/>
    <n v="484900"/>
    <n v="141740"/>
    <n v="720636"/>
    <n v="-93996"/>
    <n v="-0.13043478260869565"/>
    <d v="2014-02-01T00:00:00"/>
    <n v="2"/>
    <s v="February"/>
    <s v="2014"/>
  </r>
  <r>
    <x v="3"/>
    <s v="Mexico"/>
    <s v="Amarilla"/>
    <s v="Low"/>
    <n v="1074"/>
    <n v="260"/>
    <n v="125"/>
    <n v="134250"/>
    <n v="5370"/>
    <n v="128880"/>
    <n v="128880"/>
    <n v="0"/>
    <n v="145634.4"/>
    <n v="-16754.399999999994"/>
    <n v="-0.11504424778761059"/>
    <d v="2014-04-01T00:00:00"/>
    <n v="4"/>
    <s v="April"/>
    <s v="2014"/>
  </r>
  <r>
    <x v="0"/>
    <s v="Germany"/>
    <s v="Amarilla"/>
    <s v="Low"/>
    <n v="1907"/>
    <n v="260"/>
    <n v="350"/>
    <n v="667450"/>
    <n v="26698"/>
    <n v="640752"/>
    <n v="495820"/>
    <n v="144932"/>
    <n v="595899.36"/>
    <n v="44852.640000000014"/>
    <n v="7.5268817204301106E-2"/>
    <d v="2014-09-01T00:00:00"/>
    <n v="9"/>
    <s v="September"/>
    <s v="2014"/>
  </r>
  <r>
    <x v="1"/>
    <s v="United States of America"/>
    <s v="Amarilla"/>
    <s v="Low"/>
    <n v="671"/>
    <n v="260"/>
    <n v="15"/>
    <n v="10065"/>
    <n v="402.6"/>
    <n v="9662.4"/>
    <n v="6710"/>
    <n v="2952.3999999999996"/>
    <n v="8986.0319999999992"/>
    <n v="676.36800000000039"/>
    <n v="7.5268817204301119E-2"/>
    <d v="2013-10-01T00:00:00"/>
    <n v="10"/>
    <s v="October"/>
    <s v="2013"/>
  </r>
  <r>
    <x v="0"/>
    <s v="Canada"/>
    <s v="Amarilla"/>
    <s v="Low"/>
    <n v="1778"/>
    <n v="260"/>
    <n v="350"/>
    <n v="622300"/>
    <n v="24892"/>
    <n v="597408"/>
    <n v="462280"/>
    <n v="135128"/>
    <n v="525719.04000000004"/>
    <n v="71688.959999999963"/>
    <n v="0.13636363636363627"/>
    <d v="2013-12-01T00:00:00"/>
    <n v="12"/>
    <s v="December"/>
    <s v="2013"/>
  </r>
  <r>
    <x v="0"/>
    <s v="Germany"/>
    <s v="Montana"/>
    <s v="Medium"/>
    <n v="1159"/>
    <n v="5"/>
    <n v="7"/>
    <n v="8113"/>
    <n v="405.65"/>
    <n v="7707.35"/>
    <n v="5795"/>
    <n v="1912.3500000000004"/>
    <n v="8863.4524999999994"/>
    <n v="-1156.1024999999991"/>
    <n v="-0.13043478260869557"/>
    <d v="2013-10-01T00:00:00"/>
    <n v="10"/>
    <s v="October"/>
    <s v="2013"/>
  </r>
  <r>
    <x v="0"/>
    <s v="Germany"/>
    <s v="Paseo"/>
    <s v="Medium"/>
    <n v="1372"/>
    <n v="10"/>
    <n v="7"/>
    <n v="9604"/>
    <n v="480.2"/>
    <n v="9123.7999999999993"/>
    <n v="6860"/>
    <n v="2263.7999999999993"/>
    <n v="9032.5619999999999"/>
    <n v="91.237999999999374"/>
    <n v="1.0101010101010032E-2"/>
    <d v="2014-01-01T00:00:00"/>
    <n v="1"/>
    <s v="January"/>
    <s v="2014"/>
  </r>
  <r>
    <x v="0"/>
    <s v="Canada"/>
    <s v="Paseo"/>
    <s v="Medium"/>
    <n v="2349"/>
    <n v="10"/>
    <n v="7"/>
    <n v="16443"/>
    <n v="822.15"/>
    <n v="15620.85"/>
    <n v="11745"/>
    <n v="3875.8500000000004"/>
    <n v="13746.348"/>
    <n v="1874.5020000000004"/>
    <n v="0.13636363636363638"/>
    <d v="2013-09-01T00:00:00"/>
    <n v="9"/>
    <s v="September"/>
    <s v="2013"/>
  </r>
  <r>
    <x v="0"/>
    <s v="Mexico"/>
    <s v="Paseo"/>
    <s v="Medium"/>
    <n v="2689"/>
    <n v="10"/>
    <n v="7"/>
    <n v="18823"/>
    <n v="941.15"/>
    <n v="17881.849999999999"/>
    <n v="13445"/>
    <n v="4436.8499999999985"/>
    <n v="16808.938999999998"/>
    <n v="1072.9110000000001"/>
    <n v="6.3829787234042562E-2"/>
    <d v="2014-10-01T00:00:00"/>
    <n v="10"/>
    <s v="October"/>
    <s v="2014"/>
  </r>
  <r>
    <x v="2"/>
    <s v="Canada"/>
    <s v="Paseo"/>
    <s v="Medium"/>
    <n v="2431"/>
    <n v="10"/>
    <n v="12"/>
    <n v="29172"/>
    <n v="1458.6"/>
    <n v="27713.4"/>
    <n v="7293"/>
    <n v="20420.400000000001"/>
    <n v="30484.740000000005"/>
    <n v="-2771.3400000000038"/>
    <n v="-9.0909090909091023E-2"/>
    <d v="2014-12-01T00:00:00"/>
    <n v="12"/>
    <s v="December"/>
    <s v="2014"/>
  </r>
  <r>
    <x v="2"/>
    <s v="Canada"/>
    <s v="Velo"/>
    <s v="Medium"/>
    <n v="2431"/>
    <n v="120"/>
    <n v="12"/>
    <n v="29172"/>
    <n v="1458.6"/>
    <n v="27713.4"/>
    <n v="7293"/>
    <n v="20420.400000000001"/>
    <n v="24387.792000000001"/>
    <n v="3325.6080000000002"/>
    <n v="0.13636363636363635"/>
    <d v="2014-12-01T00:00:00"/>
    <n v="12"/>
    <s v="December"/>
    <s v="2014"/>
  </r>
  <r>
    <x v="0"/>
    <s v="Mexico"/>
    <s v="VTT"/>
    <s v="Medium"/>
    <n v="2689"/>
    <n v="250"/>
    <n v="7"/>
    <n v="18823"/>
    <n v="941.15"/>
    <n v="17881.849999999999"/>
    <n v="13445"/>
    <n v="4436.8499999999985"/>
    <n v="17345.394499999999"/>
    <n v="536.45550000000003"/>
    <n v="3.0927835051546396E-2"/>
    <d v="2014-10-01T00:00:00"/>
    <n v="10"/>
    <s v="October"/>
    <s v="2014"/>
  </r>
  <r>
    <x v="0"/>
    <s v="Mexico"/>
    <s v="Amarilla"/>
    <s v="Medium"/>
    <n v="1683"/>
    <n v="260"/>
    <n v="7"/>
    <n v="11781"/>
    <n v="589.04999999999995"/>
    <n v="11191.95"/>
    <n v="8415"/>
    <n v="2776.9500000000007"/>
    <n v="9848.9160000000011"/>
    <n v="1343.0339999999997"/>
    <n v="0.13636363636363633"/>
    <d v="2014-07-01T00:00:00"/>
    <n v="7"/>
    <s v="July"/>
    <s v="2014"/>
  </r>
  <r>
    <x v="2"/>
    <s v="Mexico"/>
    <s v="Amarilla"/>
    <s v="Medium"/>
    <n v="1123"/>
    <n v="260"/>
    <n v="12"/>
    <n v="13476"/>
    <n v="673.8"/>
    <n v="12802.2"/>
    <n v="3369"/>
    <n v="9433.2000000000007"/>
    <n v="12674.178"/>
    <n v="128.02200000000084"/>
    <n v="1.0101010101010168E-2"/>
    <d v="2014-08-01T00:00:00"/>
    <n v="8"/>
    <s v="August"/>
    <s v="2014"/>
  </r>
  <r>
    <x v="0"/>
    <s v="Germany"/>
    <s v="Amarilla"/>
    <s v="Medium"/>
    <n v="1159"/>
    <n v="260"/>
    <n v="7"/>
    <n v="8113"/>
    <n v="405.65"/>
    <n v="7707.35"/>
    <n v="5795"/>
    <n v="1912.3500000000004"/>
    <n v="7090.7620000000006"/>
    <n v="616.58799999999974"/>
    <n v="8.6956521739130391E-2"/>
    <d v="2013-10-01T00:00:00"/>
    <n v="10"/>
    <s v="October"/>
    <s v="2013"/>
  </r>
  <r>
    <x v="2"/>
    <s v="France"/>
    <s v="Carretera"/>
    <s v="Medium"/>
    <n v="1865"/>
    <n v="3"/>
    <n v="12"/>
    <n v="22380"/>
    <n v="1119"/>
    <n v="21261"/>
    <n v="5595"/>
    <n v="15666"/>
    <n v="22536.66"/>
    <n v="-1275.6599999999999"/>
    <n v="-5.6603773584905655E-2"/>
    <d v="2014-02-01T00:00:00"/>
    <n v="2"/>
    <s v="February"/>
    <s v="2014"/>
  </r>
  <r>
    <x v="2"/>
    <s v="Germany"/>
    <s v="Carretera"/>
    <s v="Medium"/>
    <n v="1116"/>
    <n v="3"/>
    <n v="12"/>
    <n v="13392"/>
    <n v="669.6"/>
    <n v="12722.4"/>
    <n v="3348"/>
    <n v="9374.4"/>
    <n v="13104.072"/>
    <n v="-381.67200000000048"/>
    <n v="-2.9126213592233045E-2"/>
    <d v="2014-02-01T00:00:00"/>
    <n v="2"/>
    <s v="February"/>
    <s v="2014"/>
  </r>
  <r>
    <x v="0"/>
    <s v="France"/>
    <s v="Carretera"/>
    <s v="Medium"/>
    <n v="1563"/>
    <n v="3"/>
    <n v="20"/>
    <n v="31260"/>
    <n v="1563"/>
    <n v="29697"/>
    <n v="15630"/>
    <n v="14067"/>
    <n v="26430.33"/>
    <n v="3266.6699999999983"/>
    <n v="0.12359550561797746"/>
    <d v="2014-05-01T00:00:00"/>
    <n v="5"/>
    <s v="May"/>
    <s v="2014"/>
  </r>
  <r>
    <x v="4"/>
    <s v="United States of America"/>
    <s v="Carretera"/>
    <s v="Medium"/>
    <n v="991"/>
    <n v="3"/>
    <n v="300"/>
    <n v="297300"/>
    <n v="14865"/>
    <n v="282435"/>
    <n v="247750"/>
    <n v="34685"/>
    <n v="276786.3"/>
    <n v="5648.7000000000116"/>
    <n v="2.0408163265306166E-2"/>
    <d v="2014-06-01T00:00:00"/>
    <n v="6"/>
    <s v="June"/>
    <s v="2014"/>
  </r>
  <r>
    <x v="0"/>
    <s v="Germany"/>
    <s v="Carretera"/>
    <s v="Medium"/>
    <n v="1016"/>
    <n v="3"/>
    <n v="7"/>
    <n v="7112"/>
    <n v="355.6"/>
    <n v="6756.4"/>
    <n v="5080"/>
    <n v="1676.3999999999996"/>
    <n v="7026.6559999999999"/>
    <n v="-270.25600000000031"/>
    <n v="-3.8461538461538505E-2"/>
    <d v="2013-11-01T00:00:00"/>
    <n v="11"/>
    <s v="November"/>
    <s v="2013"/>
  </r>
  <r>
    <x v="1"/>
    <s v="Mexico"/>
    <s v="Carretera"/>
    <s v="Medium"/>
    <n v="2791"/>
    <n v="3"/>
    <n v="15"/>
    <n v="41865"/>
    <n v="2093.25"/>
    <n v="39771.75"/>
    <n v="27910"/>
    <n v="11861.75"/>
    <n v="33805.987499999996"/>
    <n v="5965.7625000000044"/>
    <n v="0.17647058823529427"/>
    <d v="2014-11-01T00:00:00"/>
    <n v="11"/>
    <s v="November"/>
    <s v="2014"/>
  </r>
  <r>
    <x v="0"/>
    <s v="United States of America"/>
    <s v="Carretera"/>
    <s v="Medium"/>
    <n v="570"/>
    <n v="3"/>
    <n v="7"/>
    <n v="3990"/>
    <n v="199.5"/>
    <n v="3790.5"/>
    <n v="2850"/>
    <n v="940.5"/>
    <n v="4093.7400000000002"/>
    <n v="-303.24000000000024"/>
    <n v="-7.4074074074074125E-2"/>
    <d v="2014-12-01T00:00:00"/>
    <n v="12"/>
    <s v="December"/>
    <s v="2014"/>
  </r>
  <r>
    <x v="0"/>
    <s v="France"/>
    <s v="Carretera"/>
    <s v="Medium"/>
    <n v="2487"/>
    <n v="3"/>
    <n v="7"/>
    <n v="17409"/>
    <n v="870.45"/>
    <n v="16538.55"/>
    <n v="12435"/>
    <n v="4103.5499999999993"/>
    <n v="15711.622499999998"/>
    <n v="826.9275000000016"/>
    <n v="5.2631578947368529E-2"/>
    <d v="2014-12-01T00:00:00"/>
    <n v="12"/>
    <s v="December"/>
    <s v="2014"/>
  </r>
  <r>
    <x v="0"/>
    <s v="France"/>
    <s v="Montana"/>
    <s v="Medium"/>
    <n v="1384.5"/>
    <n v="5"/>
    <n v="350"/>
    <n v="484575"/>
    <n v="24228.75"/>
    <n v="460346.25"/>
    <n v="359970"/>
    <n v="100376.25"/>
    <n v="520191.26249999995"/>
    <n v="-59845.012499999953"/>
    <n v="-0.11504424778761053"/>
    <d v="2014-01-01T00:00:00"/>
    <n v="1"/>
    <s v="January"/>
    <s v="2014"/>
  </r>
  <r>
    <x v="3"/>
    <s v="United States of America"/>
    <s v="Montana"/>
    <s v="Medium"/>
    <n v="3627"/>
    <n v="5"/>
    <n v="125"/>
    <n v="453375"/>
    <n v="22668.75"/>
    <n v="430706.25"/>
    <n v="435240"/>
    <n v="-4533.75"/>
    <n v="469469.81250000006"/>
    <n v="-38763.562500000058"/>
    <n v="-8.2568807339449657E-2"/>
    <d v="2014-07-01T00:00:00"/>
    <n v="7"/>
    <s v="July"/>
    <s v="2014"/>
  </r>
  <r>
    <x v="0"/>
    <s v="Mexico"/>
    <s v="Montana"/>
    <s v="Medium"/>
    <n v="720"/>
    <n v="5"/>
    <n v="350"/>
    <n v="252000"/>
    <n v="12600"/>
    <n v="239400"/>
    <n v="187200"/>
    <n v="52200"/>
    <n v="260946.00000000003"/>
    <n v="-21546.000000000029"/>
    <n v="-8.2568807339449643E-2"/>
    <d v="2013-09-01T00:00:00"/>
    <n v="9"/>
    <s v="September"/>
    <s v="2013"/>
  </r>
  <r>
    <x v="2"/>
    <s v="Germany"/>
    <s v="Montana"/>
    <s v="Medium"/>
    <n v="2342"/>
    <n v="5"/>
    <n v="12"/>
    <n v="28104"/>
    <n v="1405.2"/>
    <n v="26698.799999999999"/>
    <n v="7026"/>
    <n v="19672.8"/>
    <n v="29368.68"/>
    <n v="-2669.880000000001"/>
    <n v="-9.0909090909090939E-2"/>
    <d v="2014-11-01T00:00:00"/>
    <n v="11"/>
    <s v="November"/>
    <s v="2014"/>
  </r>
  <r>
    <x v="4"/>
    <s v="Mexico"/>
    <s v="Montana"/>
    <s v="Medium"/>
    <n v="1100"/>
    <n v="5"/>
    <n v="300"/>
    <n v="330000"/>
    <n v="16500"/>
    <n v="313500"/>
    <n v="275000"/>
    <n v="38500"/>
    <n v="335445"/>
    <n v="-21945"/>
    <n v="-6.5420560747663545E-2"/>
    <d v="2013-12-01T00:00:00"/>
    <n v="12"/>
    <s v="December"/>
    <s v="2013"/>
  </r>
  <r>
    <x v="0"/>
    <s v="France"/>
    <s v="Paseo"/>
    <s v="Medium"/>
    <n v="1303"/>
    <n v="10"/>
    <n v="20"/>
    <n v="26060"/>
    <n v="1303"/>
    <n v="24757"/>
    <n v="13030"/>
    <n v="11727"/>
    <n v="24014.29"/>
    <n v="742.70999999999913"/>
    <n v="3.0927835051546355E-2"/>
    <d v="2014-02-01T00:00:00"/>
    <n v="2"/>
    <s v="February"/>
    <s v="2014"/>
  </r>
  <r>
    <x v="3"/>
    <s v="United States of America"/>
    <s v="Paseo"/>
    <s v="Medium"/>
    <n v="2992"/>
    <n v="10"/>
    <n v="125"/>
    <n v="374000"/>
    <n v="18700"/>
    <n v="355300"/>
    <n v="359040"/>
    <n v="-3740"/>
    <n v="341088"/>
    <n v="14212"/>
    <n v="4.1666666666666664E-2"/>
    <d v="2014-03-01T00:00:00"/>
    <n v="3"/>
    <s v="March"/>
    <s v="2014"/>
  </r>
  <r>
    <x v="3"/>
    <s v="France"/>
    <s v="Paseo"/>
    <s v="Medium"/>
    <n v="2385"/>
    <n v="10"/>
    <n v="125"/>
    <n v="298125"/>
    <n v="14906.25"/>
    <n v="283218.75"/>
    <n v="286200"/>
    <n v="-2981.25"/>
    <n v="252064.6875"/>
    <n v="31154.0625"/>
    <n v="0.12359550561797752"/>
    <d v="2014-03-01T00:00:00"/>
    <n v="3"/>
    <s v="March"/>
    <s v="2014"/>
  </r>
  <r>
    <x v="4"/>
    <s v="Mexico"/>
    <s v="Paseo"/>
    <s v="Medium"/>
    <n v="1607"/>
    <n v="10"/>
    <n v="300"/>
    <n v="482100"/>
    <n v="24105"/>
    <n v="457995"/>
    <n v="401750"/>
    <n v="56245"/>
    <n v="412195.5"/>
    <n v="45799.5"/>
    <n v="0.1111111111111111"/>
    <d v="2014-04-01T00:00:00"/>
    <n v="4"/>
    <s v="April"/>
    <s v="2014"/>
  </r>
  <r>
    <x v="0"/>
    <s v="United States of America"/>
    <s v="Paseo"/>
    <s v="Medium"/>
    <n v="2327"/>
    <n v="10"/>
    <n v="7"/>
    <n v="16289"/>
    <n v="814.45"/>
    <n v="15474.55"/>
    <n v="11635"/>
    <n v="3839.5499999999993"/>
    <n v="17022.005000000001"/>
    <n v="-1547.4550000000017"/>
    <n v="-9.0909090909091009E-2"/>
    <d v="2014-05-01T00:00:00"/>
    <n v="5"/>
    <s v="May"/>
    <s v="2014"/>
  </r>
  <r>
    <x v="4"/>
    <s v="United States of America"/>
    <s v="Paseo"/>
    <s v="Medium"/>
    <n v="991"/>
    <n v="10"/>
    <n v="300"/>
    <n v="297300"/>
    <n v="14865"/>
    <n v="282435"/>
    <n v="247750"/>
    <n v="34685"/>
    <n v="316327.2"/>
    <n v="-33892.200000000012"/>
    <n v="-0.10714285714285718"/>
    <d v="2014-06-01T00:00:00"/>
    <n v="6"/>
    <s v="June"/>
    <s v="2014"/>
  </r>
  <r>
    <x v="0"/>
    <s v="United States of America"/>
    <s v="Paseo"/>
    <s v="Medium"/>
    <n v="602"/>
    <n v="10"/>
    <n v="350"/>
    <n v="210700"/>
    <n v="10535"/>
    <n v="200165"/>
    <n v="156520"/>
    <n v="43645"/>
    <n v="184151.80000000002"/>
    <n v="16013.199999999983"/>
    <n v="8.6956521739130335E-2"/>
    <d v="2014-06-01T00:00:00"/>
    <n v="6"/>
    <s v="June"/>
    <s v="2014"/>
  </r>
  <r>
    <x v="1"/>
    <s v="France"/>
    <s v="Paseo"/>
    <s v="Medium"/>
    <n v="2620"/>
    <n v="10"/>
    <n v="15"/>
    <n v="39300"/>
    <n v="1965"/>
    <n v="37335"/>
    <n v="26200"/>
    <n v="11135"/>
    <n v="32854.800000000003"/>
    <n v="4480.1999999999971"/>
    <n v="0.13636363636363627"/>
    <d v="2014-09-01T00:00:00"/>
    <n v="9"/>
    <s v="September"/>
    <s v="2014"/>
  </r>
  <r>
    <x v="0"/>
    <s v="Canada"/>
    <s v="Paseo"/>
    <s v="Medium"/>
    <n v="1228"/>
    <n v="10"/>
    <n v="350"/>
    <n v="429800"/>
    <n v="21490"/>
    <n v="408310"/>
    <n v="319280"/>
    <n v="89030"/>
    <n v="449141.00000000006"/>
    <n v="-40831.000000000058"/>
    <n v="-9.0909090909091023E-2"/>
    <d v="2013-10-01T00:00:00"/>
    <n v="10"/>
    <s v="October"/>
    <s v="2013"/>
  </r>
  <r>
    <x v="0"/>
    <s v="Canada"/>
    <s v="Paseo"/>
    <s v="Medium"/>
    <n v="1389"/>
    <n v="10"/>
    <n v="20"/>
    <n v="27780"/>
    <n v="1389"/>
    <n v="26391"/>
    <n v="13890"/>
    <n v="12501"/>
    <n v="22960.17"/>
    <n v="3430.8300000000017"/>
    <n v="0.14942528735632193"/>
    <d v="2013-10-01T00:00:00"/>
    <n v="10"/>
    <s v="October"/>
    <s v="2013"/>
  </r>
  <r>
    <x v="3"/>
    <s v="United States of America"/>
    <s v="Paseo"/>
    <s v="Medium"/>
    <n v="861"/>
    <n v="10"/>
    <n v="125"/>
    <n v="107625"/>
    <n v="5381.25"/>
    <n v="102243.75"/>
    <n v="103320"/>
    <n v="-1076.25"/>
    <n v="100198.875"/>
    <n v="2044.875"/>
    <n v="2.0408163265306121E-2"/>
    <d v="2014-10-01T00:00:00"/>
    <n v="10"/>
    <s v="October"/>
    <s v="2014"/>
  </r>
  <r>
    <x v="3"/>
    <s v="France"/>
    <s v="Paseo"/>
    <s v="Medium"/>
    <n v="704"/>
    <n v="10"/>
    <n v="125"/>
    <n v="88000"/>
    <n v="4400"/>
    <n v="83600"/>
    <n v="84480"/>
    <n v="-880"/>
    <n v="86944"/>
    <n v="-3344"/>
    <n v="-3.8461538461538464E-2"/>
    <d v="2013-10-01T00:00:00"/>
    <n v="10"/>
    <s v="October"/>
    <s v="2013"/>
  </r>
  <r>
    <x v="0"/>
    <s v="Canada"/>
    <s v="Paseo"/>
    <s v="Medium"/>
    <n v="1802"/>
    <n v="10"/>
    <n v="20"/>
    <n v="36040"/>
    <n v="1802"/>
    <n v="34238"/>
    <n v="18020"/>
    <n v="16218"/>
    <n v="29787.06"/>
    <n v="4450.9399999999987"/>
    <n v="0.1494252873563218"/>
    <d v="2013-12-01T00:00:00"/>
    <n v="12"/>
    <s v="December"/>
    <s v="2013"/>
  </r>
  <r>
    <x v="0"/>
    <s v="United States of America"/>
    <s v="Paseo"/>
    <s v="Medium"/>
    <n v="2663"/>
    <n v="10"/>
    <n v="20"/>
    <n v="53260"/>
    <n v="2663"/>
    <n v="50597"/>
    <n v="26630"/>
    <n v="23967"/>
    <n v="54138.79"/>
    <n v="-3541.7900000000009"/>
    <n v="-6.5420560747663573E-2"/>
    <d v="2014-12-01T00:00:00"/>
    <n v="12"/>
    <s v="December"/>
    <s v="2014"/>
  </r>
  <r>
    <x v="0"/>
    <s v="France"/>
    <s v="Paseo"/>
    <s v="Medium"/>
    <n v="2136"/>
    <n v="10"/>
    <n v="7"/>
    <n v="14952"/>
    <n v="747.6"/>
    <n v="14204.4"/>
    <n v="10680"/>
    <n v="3524.3999999999996"/>
    <n v="13778.268"/>
    <n v="426.13199999999961"/>
    <n v="3.0927835051546362E-2"/>
    <d v="2013-12-01T00:00:00"/>
    <n v="12"/>
    <s v="December"/>
    <s v="2013"/>
  </r>
  <r>
    <x v="1"/>
    <s v="Germany"/>
    <s v="Paseo"/>
    <s v="Medium"/>
    <n v="2116"/>
    <n v="10"/>
    <n v="15"/>
    <n v="31740"/>
    <n v="1587"/>
    <n v="30153"/>
    <n v="21160"/>
    <n v="8993"/>
    <n v="28645.35"/>
    <n v="1507.6500000000015"/>
    <n v="5.2631578947368474E-2"/>
    <d v="2013-12-01T00:00:00"/>
    <n v="12"/>
    <s v="December"/>
    <s v="2013"/>
  </r>
  <r>
    <x v="1"/>
    <s v="United States of America"/>
    <s v="Velo"/>
    <s v="Medium"/>
    <n v="555"/>
    <n v="120"/>
    <n v="15"/>
    <n v="8325"/>
    <n v="416.25"/>
    <n v="7908.75"/>
    <n v="5550"/>
    <n v="2358.75"/>
    <n v="6880.6125000000002"/>
    <n v="1028.1374999999998"/>
    <n v="0.1494252873563218"/>
    <d v="2014-01-01T00:00:00"/>
    <n v="1"/>
    <s v="January"/>
    <s v="2014"/>
  </r>
  <r>
    <x v="1"/>
    <s v="Mexico"/>
    <s v="Velo"/>
    <s v="Medium"/>
    <n v="2861"/>
    <n v="120"/>
    <n v="15"/>
    <n v="42915"/>
    <n v="2145.75"/>
    <n v="40769.25"/>
    <n v="28610"/>
    <n v="12159.25"/>
    <n v="43215.404999999999"/>
    <n v="-2446.1549999999988"/>
    <n v="-5.6603773584905634E-2"/>
    <d v="2014-01-01T00:00:00"/>
    <n v="1"/>
    <s v="January"/>
    <s v="2014"/>
  </r>
  <r>
    <x v="3"/>
    <s v="Germany"/>
    <s v="Velo"/>
    <s v="Medium"/>
    <n v="807"/>
    <n v="120"/>
    <n v="125"/>
    <n v="100875"/>
    <n v="5043.75"/>
    <n v="95831.25"/>
    <n v="96840"/>
    <n v="-1008.75"/>
    <n v="103497.75"/>
    <n v="-7666.5"/>
    <n v="-7.407407407407407E-2"/>
    <d v="2014-02-01T00:00:00"/>
    <n v="2"/>
    <s v="February"/>
    <s v="2014"/>
  </r>
  <r>
    <x v="0"/>
    <s v="United States of America"/>
    <s v="Velo"/>
    <s v="Medium"/>
    <n v="602"/>
    <n v="120"/>
    <n v="350"/>
    <n v="210700"/>
    <n v="10535"/>
    <n v="200165"/>
    <n v="156520"/>
    <n v="43645"/>
    <n v="184151.80000000002"/>
    <n v="16013.199999999983"/>
    <n v="8.6956521739130335E-2"/>
    <d v="2014-06-01T00:00:00"/>
    <n v="6"/>
    <s v="June"/>
    <s v="2014"/>
  </r>
  <r>
    <x v="0"/>
    <s v="United States of America"/>
    <s v="Velo"/>
    <s v="Medium"/>
    <n v="2832"/>
    <n v="120"/>
    <n v="20"/>
    <n v="56640"/>
    <n v="2832"/>
    <n v="53808"/>
    <n v="28320"/>
    <n v="25488"/>
    <n v="55960.32"/>
    <n v="-2152.3199999999997"/>
    <n v="-3.8461538461538457E-2"/>
    <d v="2014-08-01T00:00:00"/>
    <n v="8"/>
    <s v="August"/>
    <s v="2014"/>
  </r>
  <r>
    <x v="0"/>
    <s v="France"/>
    <s v="Velo"/>
    <s v="Medium"/>
    <n v="1579"/>
    <n v="120"/>
    <n v="20"/>
    <n v="31580"/>
    <n v="1579"/>
    <n v="30001"/>
    <n v="15790"/>
    <n v="14211"/>
    <n v="34201.14"/>
    <n v="-4200.1399999999994"/>
    <n v="-0.12280701754385963"/>
    <d v="2014-08-01T00:00:00"/>
    <n v="8"/>
    <s v="August"/>
    <s v="2014"/>
  </r>
  <r>
    <x v="3"/>
    <s v="United States of America"/>
    <s v="Velo"/>
    <s v="Medium"/>
    <n v="861"/>
    <n v="120"/>
    <n v="125"/>
    <n v="107625"/>
    <n v="5381.25"/>
    <n v="102243.75"/>
    <n v="103320"/>
    <n v="-1076.25"/>
    <n v="97131.5625"/>
    <n v="5112.1875"/>
    <n v="5.2631578947368418E-2"/>
    <d v="2014-10-01T00:00:00"/>
    <n v="10"/>
    <s v="October"/>
    <s v="2014"/>
  </r>
  <r>
    <x v="3"/>
    <s v="France"/>
    <s v="Velo"/>
    <s v="Medium"/>
    <n v="704"/>
    <n v="120"/>
    <n v="125"/>
    <n v="88000"/>
    <n v="4400"/>
    <n v="83600"/>
    <n v="84480"/>
    <n v="-880"/>
    <n v="82764"/>
    <n v="836"/>
    <n v="1.0101010101010102E-2"/>
    <d v="2013-10-01T00:00:00"/>
    <n v="10"/>
    <s v="October"/>
    <s v="2013"/>
  </r>
  <r>
    <x v="0"/>
    <s v="France"/>
    <s v="Velo"/>
    <s v="Medium"/>
    <n v="1033"/>
    <n v="120"/>
    <n v="20"/>
    <n v="20660"/>
    <n v="1033"/>
    <n v="19627"/>
    <n v="10330"/>
    <n v="9297"/>
    <n v="22178.51"/>
    <n v="-2551.5099999999984"/>
    <n v="-0.11504424778761056"/>
    <d v="2013-12-01T00:00:00"/>
    <n v="12"/>
    <s v="December"/>
    <s v="2013"/>
  </r>
  <r>
    <x v="4"/>
    <s v="Germany"/>
    <s v="Velo"/>
    <s v="Medium"/>
    <n v="1250"/>
    <n v="120"/>
    <n v="300"/>
    <n v="375000"/>
    <n v="18750"/>
    <n v="356250"/>
    <n v="312500"/>
    <n v="43750"/>
    <n v="395437.50000000006"/>
    <n v="-39187.500000000058"/>
    <n v="-9.9099099099099225E-2"/>
    <d v="2014-12-01T00:00:00"/>
    <n v="12"/>
    <s v="December"/>
    <s v="2014"/>
  </r>
  <r>
    <x v="0"/>
    <s v="Canada"/>
    <s v="VTT"/>
    <s v="Medium"/>
    <n v="1389"/>
    <n v="250"/>
    <n v="20"/>
    <n v="27780"/>
    <n v="1389"/>
    <n v="26391"/>
    <n v="13890"/>
    <n v="12501"/>
    <n v="29294.010000000002"/>
    <n v="-2903.010000000002"/>
    <n v="-9.9099099099099155E-2"/>
    <d v="2013-10-01T00:00:00"/>
    <n v="10"/>
    <s v="October"/>
    <s v="2013"/>
  </r>
  <r>
    <x v="0"/>
    <s v="United States of America"/>
    <s v="VTT"/>
    <s v="Medium"/>
    <n v="1265"/>
    <n v="250"/>
    <n v="20"/>
    <n v="25300"/>
    <n v="1265"/>
    <n v="24035"/>
    <n v="12650"/>
    <n v="11385"/>
    <n v="24275.35"/>
    <n v="-240.34999999999854"/>
    <n v="-9.9009900990098421E-3"/>
    <d v="2013-11-01T00:00:00"/>
    <n v="11"/>
    <s v="November"/>
    <s v="2013"/>
  </r>
  <r>
    <x v="0"/>
    <s v="Germany"/>
    <s v="VTT"/>
    <s v="Medium"/>
    <n v="2297"/>
    <n v="250"/>
    <n v="20"/>
    <n v="45940"/>
    <n v="2297"/>
    <n v="43643"/>
    <n v="22970"/>
    <n v="20673"/>
    <n v="44079.43"/>
    <n v="-436.43000000000029"/>
    <n v="-9.900990099009908E-3"/>
    <d v="2013-11-01T00:00:00"/>
    <n v="11"/>
    <s v="November"/>
    <s v="2013"/>
  </r>
  <r>
    <x v="0"/>
    <s v="United States of America"/>
    <s v="VTT"/>
    <s v="Medium"/>
    <n v="2663"/>
    <n v="250"/>
    <n v="20"/>
    <n v="53260"/>
    <n v="2663"/>
    <n v="50597"/>
    <n v="26630"/>
    <n v="23967"/>
    <n v="51102.97"/>
    <n v="-505.97000000000116"/>
    <n v="-9.9009900990099237E-3"/>
    <d v="2014-12-01T00:00:00"/>
    <n v="12"/>
    <s v="December"/>
    <s v="2014"/>
  </r>
  <r>
    <x v="0"/>
    <s v="United States of America"/>
    <s v="VTT"/>
    <s v="Medium"/>
    <n v="570"/>
    <n v="250"/>
    <n v="7"/>
    <n v="3990"/>
    <n v="199.5"/>
    <n v="3790.5"/>
    <n v="2850"/>
    <n v="940.5"/>
    <n v="4055.835"/>
    <n v="-265.33500000000004"/>
    <n v="-6.5420560747663559E-2"/>
    <d v="2014-12-01T00:00:00"/>
    <n v="12"/>
    <s v="December"/>
    <s v="2014"/>
  </r>
  <r>
    <x v="0"/>
    <s v="France"/>
    <s v="VTT"/>
    <s v="Medium"/>
    <n v="2487"/>
    <n v="250"/>
    <n v="7"/>
    <n v="17409"/>
    <n v="870.45"/>
    <n v="16538.55"/>
    <n v="12435"/>
    <n v="4103.5499999999993"/>
    <n v="15546.236999999999"/>
    <n v="992.3130000000001"/>
    <n v="6.3829787234042562E-2"/>
    <d v="2014-12-01T00:00:00"/>
    <n v="12"/>
    <s v="December"/>
    <s v="2014"/>
  </r>
  <r>
    <x v="0"/>
    <s v="Germany"/>
    <s v="Amarilla"/>
    <s v="Medium"/>
    <n v="1350"/>
    <n v="260"/>
    <n v="350"/>
    <n v="472500"/>
    <n v="23625"/>
    <n v="448875"/>
    <n v="351000"/>
    <n v="97875"/>
    <n v="484785.00000000006"/>
    <n v="-35910.000000000058"/>
    <n v="-7.4074074074074181E-2"/>
    <d v="2014-02-01T00:00:00"/>
    <n v="2"/>
    <s v="February"/>
    <s v="2014"/>
  </r>
  <r>
    <x v="0"/>
    <s v="Canada"/>
    <s v="Amarilla"/>
    <s v="Medium"/>
    <n v="552"/>
    <n v="260"/>
    <n v="350"/>
    <n v="193200"/>
    <n v="9660"/>
    <n v="183540"/>
    <n v="143520"/>
    <n v="40020"/>
    <n v="165186"/>
    <n v="18354"/>
    <n v="0.1111111111111111"/>
    <d v="2014-08-01T00:00:00"/>
    <n v="8"/>
    <s v="August"/>
    <s v="2014"/>
  </r>
  <r>
    <x v="0"/>
    <s v="Canada"/>
    <s v="Amarilla"/>
    <s v="Medium"/>
    <n v="1228"/>
    <n v="260"/>
    <n v="350"/>
    <n v="429800"/>
    <n v="21490"/>
    <n v="408310"/>
    <n v="319280"/>
    <n v="89030"/>
    <n v="375645.2"/>
    <n v="32664.799999999988"/>
    <n v="8.6956521739130405E-2"/>
    <d v="2013-10-01T00:00:00"/>
    <n v="10"/>
    <s v="October"/>
    <s v="2013"/>
  </r>
  <r>
    <x v="4"/>
    <s v="Germany"/>
    <s v="Amarilla"/>
    <s v="Medium"/>
    <n v="1250"/>
    <n v="260"/>
    <n v="300"/>
    <n v="375000"/>
    <n v="18750"/>
    <n v="356250"/>
    <n v="312500"/>
    <n v="43750"/>
    <n v="359812.5"/>
    <n v="-3562.5"/>
    <n v="-9.9009900990099011E-3"/>
    <d v="2014-12-01T00:00:00"/>
    <n v="12"/>
    <s v="December"/>
    <s v="2014"/>
  </r>
  <r>
    <x v="1"/>
    <s v="France"/>
    <s v="Paseo"/>
    <s v="Medium"/>
    <n v="3801"/>
    <n v="10"/>
    <n v="15"/>
    <n v="57015"/>
    <n v="3420.8999999999996"/>
    <n v="53594.100000000006"/>
    <n v="38010"/>
    <n v="15584.100000000002"/>
    <n v="54130.041000000005"/>
    <n v="-535.94099999999889"/>
    <n v="-9.9009900990098803E-3"/>
    <d v="2014-04-01T00:00:00"/>
    <n v="4"/>
    <s v="April"/>
    <s v="2014"/>
  </r>
  <r>
    <x v="0"/>
    <s v="United States of America"/>
    <s v="Carretera"/>
    <s v="Medium"/>
    <n v="1117.5"/>
    <n v="3"/>
    <n v="20"/>
    <n v="22350"/>
    <n v="1341"/>
    <n v="21009"/>
    <n v="11175"/>
    <n v="9834"/>
    <n v="23530.080000000002"/>
    <n v="-2521.0800000000017"/>
    <n v="-0.10714285714285721"/>
    <d v="2014-01-01T00:00:00"/>
    <n v="1"/>
    <s v="January"/>
    <s v="2014"/>
  </r>
  <r>
    <x v="1"/>
    <s v="Canada"/>
    <s v="Carretera"/>
    <s v="Medium"/>
    <n v="2844"/>
    <n v="3"/>
    <n v="15"/>
    <n v="42660"/>
    <n v="2559.6"/>
    <n v="40100.400000000001"/>
    <n v="28440"/>
    <n v="11660.400000000001"/>
    <n v="42105.420000000006"/>
    <n v="-2005.0200000000041"/>
    <n v="-4.7619047619047707E-2"/>
    <d v="2014-06-01T00:00:00"/>
    <n v="6"/>
    <s v="June"/>
    <s v="2014"/>
  </r>
  <r>
    <x v="2"/>
    <s v="Mexico"/>
    <s v="Carretera"/>
    <s v="Medium"/>
    <n v="562"/>
    <n v="3"/>
    <n v="12"/>
    <n v="6744"/>
    <n v="404.64"/>
    <n v="6339.36"/>
    <n v="1686"/>
    <n v="4653.3599999999997"/>
    <n v="5832.2111999999997"/>
    <n v="507.14879999999994"/>
    <n v="8.6956521739130432E-2"/>
    <d v="2014-09-01T00:00:00"/>
    <n v="9"/>
    <s v="September"/>
    <s v="2014"/>
  </r>
  <r>
    <x v="2"/>
    <s v="Canada"/>
    <s v="Carretera"/>
    <s v="Medium"/>
    <n v="2299"/>
    <n v="3"/>
    <n v="12"/>
    <n v="27588"/>
    <n v="1655.28"/>
    <n v="25932.720000000001"/>
    <n v="6897"/>
    <n v="19035.72"/>
    <n v="27748.010400000003"/>
    <n v="-1815.2904000000017"/>
    <n v="-6.54205607476636E-2"/>
    <d v="2013-10-01T00:00:00"/>
    <n v="10"/>
    <s v="October"/>
    <s v="2013"/>
  </r>
  <r>
    <x v="1"/>
    <s v="United States of America"/>
    <s v="Carretera"/>
    <s v="Medium"/>
    <n v="2030"/>
    <n v="3"/>
    <n v="15"/>
    <n v="30450"/>
    <n v="1827"/>
    <n v="28623"/>
    <n v="20300"/>
    <n v="8323"/>
    <n v="26905.62"/>
    <n v="1717.380000000001"/>
    <n v="6.382978723404259E-2"/>
    <d v="2014-11-01T00:00:00"/>
    <n v="11"/>
    <s v="November"/>
    <s v="2014"/>
  </r>
  <r>
    <x v="0"/>
    <s v="United States of America"/>
    <s v="Carretera"/>
    <s v="Medium"/>
    <n v="263"/>
    <n v="3"/>
    <n v="7"/>
    <n v="1841"/>
    <n v="110.46"/>
    <n v="1730.54"/>
    <n v="1315"/>
    <n v="415.53999999999996"/>
    <n v="1470.9589999999998"/>
    <n v="259.58100000000013"/>
    <n v="0.17647058823529424"/>
    <d v="2013-11-01T00:00:00"/>
    <n v="11"/>
    <s v="November"/>
    <s v="2013"/>
  </r>
  <r>
    <x v="3"/>
    <s v="Germany"/>
    <s v="Carretera"/>
    <s v="Medium"/>
    <n v="887"/>
    <n v="3"/>
    <n v="125"/>
    <n v="110875"/>
    <n v="6652.5"/>
    <n v="104222.5"/>
    <n v="106440"/>
    <n v="-2217.5"/>
    <n v="115686.97500000001"/>
    <n v="-11464.475000000006"/>
    <n v="-9.9099099099099142E-2"/>
    <d v="2013-12-01T00:00:00"/>
    <n v="12"/>
    <s v="December"/>
    <s v="2013"/>
  </r>
  <r>
    <x v="0"/>
    <s v="Mexico"/>
    <s v="Montana"/>
    <s v="Medium"/>
    <n v="980"/>
    <n v="5"/>
    <n v="350"/>
    <n v="343000"/>
    <n v="20580"/>
    <n v="322420"/>
    <n v="254800"/>
    <n v="67620"/>
    <n v="332092.60000000003"/>
    <n v="-9672.6000000000349"/>
    <n v="-2.9126213592233111E-2"/>
    <d v="2014-04-01T00:00:00"/>
    <n v="4"/>
    <s v="April"/>
    <s v="2014"/>
  </r>
  <r>
    <x v="0"/>
    <s v="Germany"/>
    <s v="Montana"/>
    <s v="Medium"/>
    <n v="1460"/>
    <n v="5"/>
    <n v="350"/>
    <n v="511000"/>
    <n v="30660"/>
    <n v="480340"/>
    <n v="379600"/>
    <n v="100740"/>
    <n v="451519.6"/>
    <n v="28820.400000000023"/>
    <n v="6.3829787234042604E-2"/>
    <d v="2014-05-01T00:00:00"/>
    <n v="5"/>
    <s v="May"/>
    <s v="2014"/>
  </r>
  <r>
    <x v="0"/>
    <s v="France"/>
    <s v="Montana"/>
    <s v="Medium"/>
    <n v="1403"/>
    <n v="5"/>
    <n v="7"/>
    <n v="9821"/>
    <n v="589.26"/>
    <n v="9231.74"/>
    <n v="7015"/>
    <n v="2216.7399999999998"/>
    <n v="8677.8355999999985"/>
    <n v="553.90440000000126"/>
    <n v="6.3829787234042715E-2"/>
    <d v="2013-10-01T00:00:00"/>
    <n v="10"/>
    <s v="October"/>
    <s v="2013"/>
  </r>
  <r>
    <x v="2"/>
    <s v="United States of America"/>
    <s v="Montana"/>
    <s v="Medium"/>
    <n v="2723"/>
    <n v="5"/>
    <n v="12"/>
    <n v="32676"/>
    <n v="1960.56"/>
    <n v="30715.439999999999"/>
    <n v="8169"/>
    <n v="22546.44"/>
    <n v="34708.447199999995"/>
    <n v="-3993.0071999999964"/>
    <n v="-0.11504424778761053"/>
    <d v="2014-11-01T00:00:00"/>
    <n v="11"/>
    <s v="November"/>
    <s v="2014"/>
  </r>
  <r>
    <x v="0"/>
    <s v="France"/>
    <s v="Paseo"/>
    <s v="Medium"/>
    <n v="1496"/>
    <n v="10"/>
    <n v="350"/>
    <n v="523600"/>
    <n v="31416"/>
    <n v="492184"/>
    <n v="388960"/>
    <n v="103224"/>
    <n v="452809.28"/>
    <n v="39374.719999999972"/>
    <n v="8.6956521739130363E-2"/>
    <d v="2014-06-01T00:00:00"/>
    <n v="6"/>
    <s v="June"/>
    <s v="2014"/>
  </r>
  <r>
    <x v="2"/>
    <s v="Canada"/>
    <s v="Paseo"/>
    <s v="Medium"/>
    <n v="2299"/>
    <n v="10"/>
    <n v="12"/>
    <n v="27588"/>
    <n v="1655.28"/>
    <n v="25932.720000000001"/>
    <n v="6897"/>
    <n v="19035.72"/>
    <n v="29303.973599999998"/>
    <n v="-3371.2535999999964"/>
    <n v="-0.11504424778761051"/>
    <d v="2013-10-01T00:00:00"/>
    <n v="10"/>
    <s v="October"/>
    <s v="2013"/>
  </r>
  <r>
    <x v="0"/>
    <s v="United States of America"/>
    <s v="Paseo"/>
    <s v="Medium"/>
    <n v="727"/>
    <n v="10"/>
    <n v="350"/>
    <n v="254450"/>
    <n v="15267"/>
    <n v="239183"/>
    <n v="189020"/>
    <n v="50163"/>
    <n v="243966.66"/>
    <n v="-4783.6600000000035"/>
    <n v="-1.9607843137254916E-2"/>
    <d v="2013-10-01T00:00:00"/>
    <n v="10"/>
    <s v="October"/>
    <s v="2013"/>
  </r>
  <r>
    <x v="3"/>
    <s v="Canada"/>
    <s v="Velo"/>
    <s v="Medium"/>
    <n v="952"/>
    <n v="120"/>
    <n v="125"/>
    <n v="119000"/>
    <n v="7140"/>
    <n v="111860"/>
    <n v="114240"/>
    <n v="-2380"/>
    <n v="123046.00000000001"/>
    <n v="-11186.000000000015"/>
    <n v="-9.0909090909091023E-2"/>
    <d v="2014-02-01T00:00:00"/>
    <n v="2"/>
    <s v="February"/>
    <s v="2014"/>
  </r>
  <r>
    <x v="3"/>
    <s v="United States of America"/>
    <s v="Velo"/>
    <s v="Medium"/>
    <n v="2755"/>
    <n v="120"/>
    <n v="125"/>
    <n v="344375"/>
    <n v="20662.5"/>
    <n v="323712.5"/>
    <n v="330600"/>
    <n v="-6887.5"/>
    <n v="339898.125"/>
    <n v="-16185.625"/>
    <n v="-4.7619047619047616E-2"/>
    <d v="2014-02-01T00:00:00"/>
    <n v="2"/>
    <s v="February"/>
    <s v="2014"/>
  </r>
  <r>
    <x v="1"/>
    <s v="Germany"/>
    <s v="Velo"/>
    <s v="Medium"/>
    <n v="1530"/>
    <n v="120"/>
    <n v="15"/>
    <n v="22950"/>
    <n v="1377"/>
    <n v="21573"/>
    <n v="15300"/>
    <n v="6273"/>
    <n v="19415.7"/>
    <n v="2157.2999999999993"/>
    <n v="0.11111111111111106"/>
    <d v="2014-05-01T00:00:00"/>
    <n v="5"/>
    <s v="May"/>
    <s v="2014"/>
  </r>
  <r>
    <x v="0"/>
    <s v="France"/>
    <s v="Velo"/>
    <s v="Medium"/>
    <n v="1496"/>
    <n v="120"/>
    <n v="350"/>
    <n v="523600"/>
    <n v="31416"/>
    <n v="492184"/>
    <n v="388960"/>
    <n v="103224"/>
    <n v="511871.36000000004"/>
    <n v="-19687.360000000044"/>
    <n v="-3.8461538461538547E-2"/>
    <d v="2014-06-01T00:00:00"/>
    <n v="6"/>
    <s v="June"/>
    <s v="2014"/>
  </r>
  <r>
    <x v="0"/>
    <s v="Mexico"/>
    <s v="Velo"/>
    <s v="Medium"/>
    <n v="1498"/>
    <n v="120"/>
    <n v="7"/>
    <n v="10486"/>
    <n v="629.16"/>
    <n v="9856.84"/>
    <n v="7490"/>
    <n v="2366.84"/>
    <n v="9265.4295999999995"/>
    <n v="591.41040000000066"/>
    <n v="6.3829787234042631E-2"/>
    <d v="2014-06-01T00:00:00"/>
    <n v="6"/>
    <s v="June"/>
    <s v="2014"/>
  </r>
  <r>
    <x v="4"/>
    <s v="France"/>
    <s v="Velo"/>
    <s v="Medium"/>
    <n v="1221"/>
    <n v="120"/>
    <n v="300"/>
    <n v="366300"/>
    <n v="21978"/>
    <n v="344322"/>
    <n v="305250"/>
    <n v="39072"/>
    <n v="392527.07999999996"/>
    <n v="-48205.079999999958"/>
    <n v="-0.12280701754385956"/>
    <d v="2013-10-01T00:00:00"/>
    <n v="10"/>
    <s v="October"/>
    <s v="2013"/>
  </r>
  <r>
    <x v="0"/>
    <s v="France"/>
    <s v="Velo"/>
    <s v="Medium"/>
    <n v="2076"/>
    <n v="120"/>
    <n v="350"/>
    <n v="726600"/>
    <n v="43596"/>
    <n v="683004"/>
    <n v="539760"/>
    <n v="143244"/>
    <n v="607873.56000000006"/>
    <n v="75130.439999999944"/>
    <n v="0.12359550561797743"/>
    <d v="2013-10-01T00:00:00"/>
    <n v="10"/>
    <s v="October"/>
    <s v="2013"/>
  </r>
  <r>
    <x v="1"/>
    <s v="Canada"/>
    <s v="VTT"/>
    <s v="Medium"/>
    <n v="2844"/>
    <n v="250"/>
    <n v="15"/>
    <n v="42660"/>
    <n v="2559.6"/>
    <n v="40100.400000000001"/>
    <n v="28440"/>
    <n v="11660.400000000001"/>
    <n v="39298.392"/>
    <n v="802.00800000000163"/>
    <n v="2.0408163265306162E-2"/>
    <d v="2014-06-01T00:00:00"/>
    <n v="6"/>
    <s v="June"/>
    <s v="2014"/>
  </r>
  <r>
    <x v="0"/>
    <s v="Mexico"/>
    <s v="VTT"/>
    <s v="Medium"/>
    <n v="1498"/>
    <n v="250"/>
    <n v="7"/>
    <n v="10486"/>
    <n v="629.16"/>
    <n v="9856.84"/>
    <n v="7490"/>
    <n v="2366.84"/>
    <n v="10152.5452"/>
    <n v="-295.70520000000033"/>
    <n v="-2.9126213592233042E-2"/>
    <d v="2014-06-01T00:00:00"/>
    <n v="6"/>
    <s v="June"/>
    <s v="2014"/>
  </r>
  <r>
    <x v="4"/>
    <s v="France"/>
    <s v="VTT"/>
    <s v="Medium"/>
    <n v="1221"/>
    <n v="250"/>
    <n v="300"/>
    <n v="366300"/>
    <n v="21978"/>
    <n v="344322"/>
    <n v="305250"/>
    <n v="39072"/>
    <n v="292673.7"/>
    <n v="51648.299999999988"/>
    <n v="0.17647058823529407"/>
    <d v="2013-10-01T00:00:00"/>
    <n v="10"/>
    <s v="October"/>
    <s v="2013"/>
  </r>
  <r>
    <x v="0"/>
    <s v="Mexico"/>
    <s v="VTT"/>
    <s v="Medium"/>
    <n v="1123"/>
    <n v="250"/>
    <n v="20"/>
    <n v="22460"/>
    <n v="1347.6"/>
    <n v="21112.400000000001"/>
    <n v="11230"/>
    <n v="9882.4000000000015"/>
    <n v="21956.896000000001"/>
    <n v="-844.49599999999919"/>
    <n v="-3.8461538461538422E-2"/>
    <d v="2013-11-01T00:00:00"/>
    <n v="11"/>
    <s v="November"/>
    <s v="2013"/>
  </r>
  <r>
    <x v="4"/>
    <s v="Canada"/>
    <s v="VTT"/>
    <s v="Medium"/>
    <n v="2436"/>
    <n v="250"/>
    <n v="300"/>
    <n v="730800"/>
    <n v="43848"/>
    <n v="686952"/>
    <n v="609000"/>
    <n v="77952"/>
    <n v="680082.48"/>
    <n v="6869.5200000000186"/>
    <n v="1.0101010101010128E-2"/>
    <d v="2013-12-01T00:00:00"/>
    <n v="12"/>
    <s v="December"/>
    <s v="2013"/>
  </r>
  <r>
    <x v="3"/>
    <s v="France"/>
    <s v="Amarilla"/>
    <s v="Medium"/>
    <n v="1987.5"/>
    <n v="260"/>
    <n v="125"/>
    <n v="248437.5"/>
    <n v="14906.25"/>
    <n v="233531.25"/>
    <n v="238500"/>
    <n v="-4968.75"/>
    <n v="200836.875"/>
    <n v="32694.375"/>
    <n v="0.16279069767441862"/>
    <d v="2014-01-01T00:00:00"/>
    <n v="1"/>
    <s v="January"/>
    <s v="2014"/>
  </r>
  <r>
    <x v="0"/>
    <s v="Mexico"/>
    <s v="Amarilla"/>
    <s v="Medium"/>
    <n v="1679"/>
    <n v="260"/>
    <n v="350"/>
    <n v="587650"/>
    <n v="35259"/>
    <n v="552391"/>
    <n v="436540"/>
    <n v="115851"/>
    <n v="552391"/>
    <n v="0"/>
    <n v="0"/>
    <d v="2014-09-01T00:00:00"/>
    <n v="9"/>
    <s v="September"/>
    <s v="2014"/>
  </r>
  <r>
    <x v="0"/>
    <s v="United States of America"/>
    <s v="Amarilla"/>
    <s v="Medium"/>
    <n v="727"/>
    <n v="260"/>
    <n v="350"/>
    <n v="254450"/>
    <n v="15267"/>
    <n v="239183"/>
    <n v="189020"/>
    <n v="50163"/>
    <n v="210481.04"/>
    <n v="28701.959999999992"/>
    <n v="0.13636363636363633"/>
    <d v="2013-10-01T00:00:00"/>
    <n v="10"/>
    <s v="October"/>
    <s v="2013"/>
  </r>
  <r>
    <x v="0"/>
    <s v="France"/>
    <s v="Amarilla"/>
    <s v="Medium"/>
    <n v="1403"/>
    <n v="260"/>
    <n v="7"/>
    <n v="9821"/>
    <n v="589.26"/>
    <n v="9231.74"/>
    <n v="7015"/>
    <n v="2216.7399999999998"/>
    <n v="8400.8834000000006"/>
    <n v="830.85659999999916"/>
    <n v="9.89010989010988E-2"/>
    <d v="2013-10-01T00:00:00"/>
    <n v="10"/>
    <s v="October"/>
    <s v="2013"/>
  </r>
  <r>
    <x v="0"/>
    <s v="France"/>
    <s v="Amarilla"/>
    <s v="Medium"/>
    <n v="2076"/>
    <n v="260"/>
    <n v="350"/>
    <n v="726600"/>
    <n v="43596"/>
    <n v="683004"/>
    <n v="539760"/>
    <n v="143244"/>
    <n v="662513.88"/>
    <n v="20490.119999999995"/>
    <n v="3.0927835051546386E-2"/>
    <d v="2013-10-01T00:00:00"/>
    <n v="10"/>
    <s v="October"/>
    <s v="2013"/>
  </r>
  <r>
    <x v="0"/>
    <s v="France"/>
    <s v="Montana"/>
    <s v="Medium"/>
    <n v="1757"/>
    <n v="5"/>
    <n v="20"/>
    <n v="35140"/>
    <n v="2108.4"/>
    <n v="33031.599999999999"/>
    <n v="17570"/>
    <n v="15461.599999999999"/>
    <n v="28076.859999999997"/>
    <n v="4954.7400000000016"/>
    <n v="0.17647058823529418"/>
    <d v="2013-10-01T00:00:00"/>
    <n v="10"/>
    <s v="October"/>
    <s v="2013"/>
  </r>
  <r>
    <x v="1"/>
    <s v="United States of America"/>
    <s v="Paseo"/>
    <s v="Medium"/>
    <n v="2198"/>
    <n v="10"/>
    <n v="15"/>
    <n v="32970"/>
    <n v="1978.2"/>
    <n v="30991.8"/>
    <n v="21980"/>
    <n v="9011.7999999999993"/>
    <n v="27272.784"/>
    <n v="3719.0159999999996"/>
    <n v="0.13636363636363635"/>
    <d v="2014-08-01T00:00:00"/>
    <n v="8"/>
    <s v="August"/>
    <s v="2014"/>
  </r>
  <r>
    <x v="1"/>
    <s v="Germany"/>
    <s v="Paseo"/>
    <s v="Medium"/>
    <n v="1743"/>
    <n v="10"/>
    <n v="15"/>
    <n v="26145"/>
    <n v="1568.7"/>
    <n v="24576.3"/>
    <n v="17430"/>
    <n v="7146.2999999999993"/>
    <n v="26542.404000000002"/>
    <n v="-1966.104000000003"/>
    <n v="-7.4074074074074181E-2"/>
    <d v="2014-08-01T00:00:00"/>
    <n v="8"/>
    <s v="August"/>
    <s v="2014"/>
  </r>
  <r>
    <x v="1"/>
    <s v="United States of America"/>
    <s v="Paseo"/>
    <s v="Medium"/>
    <n v="1153"/>
    <n v="10"/>
    <n v="15"/>
    <n v="17295"/>
    <n v="1037.7"/>
    <n v="16257.3"/>
    <n v="11530"/>
    <n v="4727.2999999999993"/>
    <n v="18370.748999999996"/>
    <n v="-2113.4489999999969"/>
    <n v="-0.11504424778761048"/>
    <d v="2014-10-01T00:00:00"/>
    <n v="10"/>
    <s v="October"/>
    <s v="2014"/>
  </r>
  <r>
    <x v="0"/>
    <s v="France"/>
    <s v="Paseo"/>
    <s v="Medium"/>
    <n v="1757"/>
    <n v="10"/>
    <n v="20"/>
    <n v="35140"/>
    <n v="2108.4"/>
    <n v="33031.599999999999"/>
    <n v="17570"/>
    <n v="15461.599999999999"/>
    <n v="30719.387999999999"/>
    <n v="2312.2119999999995"/>
    <n v="7.5268817204301064E-2"/>
    <d v="2013-10-01T00:00:00"/>
    <n v="10"/>
    <s v="October"/>
    <s v="2013"/>
  </r>
  <r>
    <x v="0"/>
    <s v="Germany"/>
    <s v="Velo"/>
    <s v="Medium"/>
    <n v="1001"/>
    <n v="120"/>
    <n v="20"/>
    <n v="20020"/>
    <n v="1201.2"/>
    <n v="18818.8"/>
    <n v="10010"/>
    <n v="8808.7999999999993"/>
    <n v="16936.919999999998"/>
    <n v="1881.880000000001"/>
    <n v="0.11111111111111119"/>
    <d v="2014-08-01T00:00:00"/>
    <n v="8"/>
    <s v="August"/>
    <s v="2014"/>
  </r>
  <r>
    <x v="0"/>
    <s v="Mexico"/>
    <s v="Velo"/>
    <s v="Medium"/>
    <n v="1333"/>
    <n v="120"/>
    <n v="7"/>
    <n v="9331"/>
    <n v="559.86"/>
    <n v="8771.14"/>
    <n v="6665"/>
    <n v="2106.1399999999994"/>
    <n v="9560.5426000000007"/>
    <n v="-789.40260000000126"/>
    <n v="-8.2568807339449671E-2"/>
    <d v="2014-11-01T00:00:00"/>
    <n v="11"/>
    <s v="November"/>
    <s v="2014"/>
  </r>
  <r>
    <x v="1"/>
    <s v="United States of America"/>
    <s v="VTT"/>
    <s v="Medium"/>
    <n v="1153"/>
    <n v="250"/>
    <n v="15"/>
    <n v="17295"/>
    <n v="1037.7"/>
    <n v="16257.3"/>
    <n v="11530"/>
    <n v="4727.2999999999993"/>
    <n v="14143.850999999999"/>
    <n v="2113.4490000000005"/>
    <n v="0.14942528735632188"/>
    <d v="2014-10-01T00:00:00"/>
    <n v="10"/>
    <s v="October"/>
    <s v="2014"/>
  </r>
  <r>
    <x v="2"/>
    <s v="Mexico"/>
    <s v="Carretera"/>
    <s v="Medium"/>
    <n v="727"/>
    <n v="3"/>
    <n v="12"/>
    <n v="8724"/>
    <n v="610.67999999999995"/>
    <n v="8113.32"/>
    <n v="2181"/>
    <n v="5932.32"/>
    <n v="7707.6539999999995"/>
    <n v="405.66600000000017"/>
    <n v="5.2631578947368446E-2"/>
    <d v="2014-02-01T00:00:00"/>
    <n v="2"/>
    <s v="February"/>
    <s v="2014"/>
  </r>
  <r>
    <x v="2"/>
    <s v="Canada"/>
    <s v="Carretera"/>
    <s v="Medium"/>
    <n v="1884"/>
    <n v="3"/>
    <n v="12"/>
    <n v="22608"/>
    <n v="1582.56"/>
    <n v="21025.439999999999"/>
    <n v="5652"/>
    <n v="15373.439999999999"/>
    <n v="18502.387199999997"/>
    <n v="2523.0528000000013"/>
    <n v="0.13636363636363646"/>
    <d v="2014-08-01T00:00:00"/>
    <n v="8"/>
    <s v="August"/>
    <s v="2014"/>
  </r>
  <r>
    <x v="0"/>
    <s v="Mexico"/>
    <s v="Carretera"/>
    <s v="Medium"/>
    <n v="1834"/>
    <n v="3"/>
    <n v="20"/>
    <n v="36680"/>
    <n v="2567.6"/>
    <n v="34112.400000000001"/>
    <n v="18340"/>
    <n v="15772.400000000001"/>
    <n v="38547.011999999995"/>
    <n v="-4434.6119999999937"/>
    <n v="-0.11504424778761047"/>
    <d v="2013-09-01T00:00:00"/>
    <n v="9"/>
    <s v="September"/>
    <s v="2013"/>
  </r>
  <r>
    <x v="2"/>
    <s v="Mexico"/>
    <s v="Montana"/>
    <s v="Medium"/>
    <n v="2340"/>
    <n v="5"/>
    <n v="12"/>
    <n v="28080"/>
    <n v="1965.6"/>
    <n v="26114.400000000001"/>
    <n v="7020"/>
    <n v="19094.400000000001"/>
    <n v="22980.672000000002"/>
    <n v="3133.7279999999992"/>
    <n v="0.13636363636363633"/>
    <d v="2014-01-01T00:00:00"/>
    <n v="1"/>
    <s v="January"/>
    <s v="2014"/>
  </r>
  <r>
    <x v="2"/>
    <s v="France"/>
    <s v="Montana"/>
    <s v="Medium"/>
    <n v="2342"/>
    <n v="5"/>
    <n v="12"/>
    <n v="28104"/>
    <n v="1967.28"/>
    <n v="26136.720000000001"/>
    <n v="7026"/>
    <n v="19110.72"/>
    <n v="29534.493599999998"/>
    <n v="-3397.7735999999968"/>
    <n v="-0.11504424778761052"/>
    <d v="2014-11-01T00:00:00"/>
    <n v="11"/>
    <s v="November"/>
    <s v="2014"/>
  </r>
  <r>
    <x v="0"/>
    <s v="France"/>
    <s v="Paseo"/>
    <s v="Medium"/>
    <n v="1031"/>
    <n v="10"/>
    <n v="7"/>
    <n v="7217"/>
    <n v="505.19"/>
    <n v="6711.81"/>
    <n v="5155"/>
    <n v="1556.8100000000004"/>
    <n v="6778.9281000000001"/>
    <n v="-67.118099999999686"/>
    <n v="-9.9009900990098543E-3"/>
    <d v="2013-09-01T00:00:00"/>
    <n v="9"/>
    <s v="September"/>
    <s v="2013"/>
  </r>
  <r>
    <x v="1"/>
    <s v="Canada"/>
    <s v="Velo"/>
    <s v="Medium"/>
    <n v="1262"/>
    <n v="120"/>
    <n v="15"/>
    <n v="18930"/>
    <n v="1325.1"/>
    <n v="17604.900000000001"/>
    <n v="12620"/>
    <n v="4984.9000000000015"/>
    <n v="15316.263000000001"/>
    <n v="2288.6370000000006"/>
    <n v="0.14942528735632188"/>
    <d v="2014-05-01T00:00:00"/>
    <n v="5"/>
    <s v="May"/>
    <s v="2014"/>
  </r>
  <r>
    <x v="0"/>
    <s v="Canada"/>
    <s v="Velo"/>
    <s v="Medium"/>
    <n v="1135"/>
    <n v="120"/>
    <n v="7"/>
    <n v="7945"/>
    <n v="556.15"/>
    <n v="7388.85"/>
    <n v="5675"/>
    <n v="1713.8500000000004"/>
    <n v="6723.8535000000002"/>
    <n v="664.9965000000002"/>
    <n v="9.8901098901098924E-2"/>
    <d v="2014-06-01T00:00:00"/>
    <n v="6"/>
    <s v="June"/>
    <s v="2014"/>
  </r>
  <r>
    <x v="0"/>
    <s v="United States of America"/>
    <s v="Velo"/>
    <s v="Medium"/>
    <n v="547"/>
    <n v="120"/>
    <n v="7"/>
    <n v="3829"/>
    <n v="268.02999999999997"/>
    <n v="3560.9700000000003"/>
    <n v="2735"/>
    <n v="825.97000000000025"/>
    <n v="4095.1154999999999"/>
    <n v="-534.14549999999963"/>
    <n v="-0.13043478260869557"/>
    <d v="2014-11-01T00:00:00"/>
    <n v="11"/>
    <s v="November"/>
    <s v="2014"/>
  </r>
  <r>
    <x v="0"/>
    <s v="Canada"/>
    <s v="Velo"/>
    <s v="Medium"/>
    <n v="1582"/>
    <n v="120"/>
    <n v="7"/>
    <n v="11074"/>
    <n v="775.18"/>
    <n v="10298.82"/>
    <n v="7910"/>
    <n v="2388.8199999999997"/>
    <n v="10916.7492"/>
    <n v="-617.92920000000049"/>
    <n v="-5.6603773584905703E-2"/>
    <d v="2014-12-01T00:00:00"/>
    <n v="12"/>
    <s v="December"/>
    <s v="2014"/>
  </r>
  <r>
    <x v="2"/>
    <s v="France"/>
    <s v="VTT"/>
    <s v="Medium"/>
    <n v="1738.5"/>
    <n v="250"/>
    <n v="12"/>
    <n v="20862"/>
    <n v="1460.34"/>
    <n v="19401.66"/>
    <n v="5215.5"/>
    <n v="14186.16"/>
    <n v="16879.444199999998"/>
    <n v="2522.2158000000018"/>
    <n v="0.14942528735632196"/>
    <d v="2014-04-01T00:00:00"/>
    <n v="4"/>
    <s v="April"/>
    <s v="2014"/>
  </r>
  <r>
    <x v="2"/>
    <s v="Germany"/>
    <s v="VTT"/>
    <s v="Medium"/>
    <n v="2215"/>
    <n v="250"/>
    <n v="12"/>
    <n v="26580"/>
    <n v="1860.6"/>
    <n v="24719.4"/>
    <n v="6645"/>
    <n v="18074.400000000001"/>
    <n v="25213.788"/>
    <n v="-494.38799999999901"/>
    <n v="-1.9607843137254864E-2"/>
    <d v="2013-09-01T00:00:00"/>
    <n v="9"/>
    <s v="September"/>
    <s v="2013"/>
  </r>
  <r>
    <x v="0"/>
    <s v="Canada"/>
    <s v="VTT"/>
    <s v="Medium"/>
    <n v="1582"/>
    <n v="250"/>
    <n v="7"/>
    <n v="11074"/>
    <n v="775.18"/>
    <n v="10298.82"/>
    <n v="7910"/>
    <n v="2388.8199999999997"/>
    <n v="10195.8318"/>
    <n v="102.98819999999978"/>
    <n v="1.0101010101010079E-2"/>
    <d v="2014-12-01T00:00:00"/>
    <n v="12"/>
    <s v="December"/>
    <s v="2014"/>
  </r>
  <r>
    <x v="0"/>
    <s v="Canada"/>
    <s v="Amarilla"/>
    <s v="Medium"/>
    <n v="1135"/>
    <n v="260"/>
    <n v="7"/>
    <n v="7945"/>
    <n v="556.15"/>
    <n v="7388.85"/>
    <n v="5675"/>
    <n v="1713.8500000000004"/>
    <n v="7019.4075000000003"/>
    <n v="369.44250000000011"/>
    <n v="5.2631578947368432E-2"/>
    <d v="2014-06-01T00:00:00"/>
    <n v="6"/>
    <s v="June"/>
    <s v="2014"/>
  </r>
  <r>
    <x v="0"/>
    <s v="United States of America"/>
    <s v="Carretera"/>
    <s v="Medium"/>
    <n v="1761"/>
    <n v="3"/>
    <n v="350"/>
    <n v="616350"/>
    <n v="43144.5"/>
    <n v="573205.5"/>
    <n v="457860"/>
    <n v="115345.5"/>
    <n v="619061.94000000006"/>
    <n v="-45856.440000000061"/>
    <n v="-7.4074074074074167E-2"/>
    <d v="2014-03-01T00:00:00"/>
    <n v="3"/>
    <s v="March"/>
    <s v="2014"/>
  </r>
  <r>
    <x v="4"/>
    <s v="France"/>
    <s v="Carretera"/>
    <s v="Medium"/>
    <n v="448"/>
    <n v="3"/>
    <n v="300"/>
    <n v="134400"/>
    <n v="9408"/>
    <n v="124992"/>
    <n v="112000"/>
    <n v="12992"/>
    <n v="141240.95999999999"/>
    <n v="-16248.959999999992"/>
    <n v="-0.11504424778761056"/>
    <d v="2014-06-01T00:00:00"/>
    <n v="6"/>
    <s v="June"/>
    <s v="2014"/>
  </r>
  <r>
    <x v="4"/>
    <s v="France"/>
    <s v="Carretera"/>
    <s v="Medium"/>
    <n v="2181"/>
    <n v="3"/>
    <n v="300"/>
    <n v="654300"/>
    <n v="45801"/>
    <n v="608499"/>
    <n v="545250"/>
    <n v="63249"/>
    <n v="578074.04999999993"/>
    <n v="30424.95000000007"/>
    <n v="5.263157894736855E-2"/>
    <d v="2014-10-01T00:00:00"/>
    <n v="10"/>
    <s v="October"/>
    <s v="2014"/>
  </r>
  <r>
    <x v="0"/>
    <s v="France"/>
    <s v="Montana"/>
    <s v="Medium"/>
    <n v="1976"/>
    <n v="5"/>
    <n v="20"/>
    <n v="39520"/>
    <n v="2766.4"/>
    <n v="36753.599999999999"/>
    <n v="19760"/>
    <n v="16993.599999999999"/>
    <n v="31608.095999999998"/>
    <n v="5145.5040000000008"/>
    <n v="0.16279069767441864"/>
    <d v="2014-10-01T00:00:00"/>
    <n v="10"/>
    <s v="October"/>
    <s v="2014"/>
  </r>
  <r>
    <x v="4"/>
    <s v="France"/>
    <s v="Montana"/>
    <s v="Medium"/>
    <n v="2181"/>
    <n v="5"/>
    <n v="300"/>
    <n v="654300"/>
    <n v="45801"/>
    <n v="608499"/>
    <n v="545250"/>
    <n v="63249"/>
    <n v="578074.04999999993"/>
    <n v="30424.95000000007"/>
    <n v="5.263157894736855E-2"/>
    <d v="2014-10-01T00:00:00"/>
    <n v="10"/>
    <s v="October"/>
    <s v="2014"/>
  </r>
  <r>
    <x v="3"/>
    <s v="Germany"/>
    <s v="Montana"/>
    <s v="Medium"/>
    <n v="2500"/>
    <n v="5"/>
    <n v="125"/>
    <n v="312500"/>
    <n v="21875"/>
    <n v="290625"/>
    <n v="300000"/>
    <n v="-9375"/>
    <n v="264468.75"/>
    <n v="26156.25"/>
    <n v="9.8901098901098897E-2"/>
    <d v="2013-11-01T00:00:00"/>
    <n v="11"/>
    <s v="November"/>
    <s v="2013"/>
  </r>
  <r>
    <x v="4"/>
    <s v="Canada"/>
    <s v="Paseo"/>
    <s v="Medium"/>
    <n v="1702"/>
    <n v="10"/>
    <n v="300"/>
    <n v="510600"/>
    <n v="35742"/>
    <n v="474858"/>
    <n v="425500"/>
    <n v="49358"/>
    <n v="422623.62"/>
    <n v="52234.380000000005"/>
    <n v="0.12359550561797754"/>
    <d v="2014-05-01T00:00:00"/>
    <n v="5"/>
    <s v="May"/>
    <s v="2014"/>
  </r>
  <r>
    <x v="4"/>
    <s v="France"/>
    <s v="Paseo"/>
    <s v="Medium"/>
    <n v="448"/>
    <n v="10"/>
    <n v="300"/>
    <n v="134400"/>
    <n v="9408"/>
    <n v="124992"/>
    <n v="112000"/>
    <n v="12992"/>
    <n v="131241.60000000001"/>
    <n v="-6249.6000000000058"/>
    <n v="-4.7619047619047658E-2"/>
    <d v="2014-06-01T00:00:00"/>
    <n v="6"/>
    <s v="June"/>
    <s v="2014"/>
  </r>
  <r>
    <x v="3"/>
    <s v="Germany"/>
    <s v="Paseo"/>
    <s v="Medium"/>
    <n v="3513"/>
    <n v="10"/>
    <n v="125"/>
    <n v="439125"/>
    <n v="30738.75"/>
    <n v="408386.25"/>
    <n v="421560"/>
    <n v="-13173.75"/>
    <n v="465560.32499999995"/>
    <n v="-57174.074999999953"/>
    <n v="-0.12280701754385956"/>
    <d v="2014-07-01T00:00:00"/>
    <n v="7"/>
    <s v="July"/>
    <s v="2014"/>
  </r>
  <r>
    <x v="1"/>
    <s v="France"/>
    <s v="Paseo"/>
    <s v="Medium"/>
    <n v="2101"/>
    <n v="10"/>
    <n v="15"/>
    <n v="31515"/>
    <n v="2206.0500000000002"/>
    <n v="29308.95"/>
    <n v="21010"/>
    <n v="8298.9500000000007"/>
    <n v="31946.755500000003"/>
    <n v="-2637.8055000000022"/>
    <n v="-8.2568807339449601E-2"/>
    <d v="2014-08-01T00:00:00"/>
    <n v="8"/>
    <s v="August"/>
    <s v="2014"/>
  </r>
  <r>
    <x v="1"/>
    <s v="United States of America"/>
    <s v="Paseo"/>
    <s v="Medium"/>
    <n v="2931"/>
    <n v="10"/>
    <n v="15"/>
    <n v="43965"/>
    <n v="3077.55"/>
    <n v="40887.449999999997"/>
    <n v="29310"/>
    <n v="11577.449999999997"/>
    <n v="37207.5795"/>
    <n v="3679.8704999999973"/>
    <n v="9.8901098901098827E-2"/>
    <d v="2013-09-01T00:00:00"/>
    <n v="9"/>
    <s v="September"/>
    <s v="2013"/>
  </r>
  <r>
    <x v="0"/>
    <s v="France"/>
    <s v="Paseo"/>
    <s v="Medium"/>
    <n v="1535"/>
    <n v="10"/>
    <n v="20"/>
    <n v="30700"/>
    <n v="2149"/>
    <n v="28551"/>
    <n v="15350"/>
    <n v="13201"/>
    <n v="31406.100000000002"/>
    <n v="-2855.1000000000022"/>
    <n v="-9.0909090909090967E-2"/>
    <d v="2014-09-01T00:00:00"/>
    <n v="9"/>
    <s v="September"/>
    <s v="2014"/>
  </r>
  <r>
    <x v="4"/>
    <s v="Germany"/>
    <s v="Paseo"/>
    <s v="Medium"/>
    <n v="1123"/>
    <n v="10"/>
    <n v="300"/>
    <n v="336900"/>
    <n v="23583"/>
    <n v="313317"/>
    <n v="280750"/>
    <n v="32567"/>
    <n v="354048.20999999996"/>
    <n v="-40731.209999999963"/>
    <n v="-0.11504424778761052"/>
    <d v="2013-09-01T00:00:00"/>
    <n v="9"/>
    <s v="September"/>
    <s v="2013"/>
  </r>
  <r>
    <x v="4"/>
    <s v="Canada"/>
    <s v="Paseo"/>
    <s v="Medium"/>
    <n v="1404"/>
    <n v="10"/>
    <n v="300"/>
    <n v="421200"/>
    <n v="29484"/>
    <n v="391716"/>
    <n v="351000"/>
    <n v="40716"/>
    <n v="399550.32"/>
    <n v="-7834.320000000007"/>
    <n v="-1.9607843137254919E-2"/>
    <d v="2013-11-01T00:00:00"/>
    <n v="11"/>
    <s v="November"/>
    <s v="2013"/>
  </r>
  <r>
    <x v="2"/>
    <s v="Mexico"/>
    <s v="Paseo"/>
    <s v="Medium"/>
    <n v="2763"/>
    <n v="10"/>
    <n v="12"/>
    <n v="33156"/>
    <n v="2320.92"/>
    <n v="30835.08"/>
    <n v="8289"/>
    <n v="22546.080000000002"/>
    <n v="35460.341999999997"/>
    <n v="-4625.2619999999952"/>
    <n v="-0.13043478260869554"/>
    <d v="2013-11-01T00:00:00"/>
    <n v="11"/>
    <s v="November"/>
    <s v="2013"/>
  </r>
  <r>
    <x v="0"/>
    <s v="Germany"/>
    <s v="Paseo"/>
    <s v="Medium"/>
    <n v="2125"/>
    <n v="10"/>
    <n v="7"/>
    <n v="14875"/>
    <n v="1041.25"/>
    <n v="13833.75"/>
    <n v="10625"/>
    <n v="3208.75"/>
    <n v="13418.737499999999"/>
    <n v="415.01250000000073"/>
    <n v="3.0927835051546448E-2"/>
    <d v="2013-12-01T00:00:00"/>
    <n v="12"/>
    <s v="December"/>
    <s v="2013"/>
  </r>
  <r>
    <x v="4"/>
    <s v="France"/>
    <s v="Velo"/>
    <s v="Medium"/>
    <n v="1659"/>
    <n v="120"/>
    <n v="300"/>
    <n v="497700"/>
    <n v="34839"/>
    <n v="462861"/>
    <n v="414750"/>
    <n v="48111"/>
    <n v="523032.92999999993"/>
    <n v="-60171.929999999935"/>
    <n v="-0.11504424778761051"/>
    <d v="2014-07-01T00:00:00"/>
    <n v="7"/>
    <s v="July"/>
    <s v="2014"/>
  </r>
  <r>
    <x v="0"/>
    <s v="Mexico"/>
    <s v="Velo"/>
    <s v="Medium"/>
    <n v="609"/>
    <n v="120"/>
    <n v="20"/>
    <n v="12180"/>
    <n v="852.6"/>
    <n v="11327.4"/>
    <n v="6090"/>
    <n v="5237.3999999999996"/>
    <n v="13026.509999999998"/>
    <n v="-1699.1099999999988"/>
    <n v="-0.13043478260869557"/>
    <d v="2014-08-01T00:00:00"/>
    <n v="8"/>
    <s v="August"/>
    <s v="2014"/>
  </r>
  <r>
    <x v="3"/>
    <s v="Germany"/>
    <s v="Velo"/>
    <s v="Medium"/>
    <n v="2087"/>
    <n v="120"/>
    <n v="125"/>
    <n v="260875"/>
    <n v="18261.25"/>
    <n v="242613.75"/>
    <n v="250440"/>
    <n v="-7826.25"/>
    <n v="252318.30000000002"/>
    <n v="-9704.5500000000175"/>
    <n v="-3.8461538461538526E-2"/>
    <d v="2014-09-01T00:00:00"/>
    <n v="9"/>
    <s v="September"/>
    <s v="2014"/>
  </r>
  <r>
    <x v="0"/>
    <s v="France"/>
    <s v="Velo"/>
    <s v="Medium"/>
    <n v="1976"/>
    <n v="120"/>
    <n v="20"/>
    <n v="39520"/>
    <n v="2766.4"/>
    <n v="36753.599999999999"/>
    <n v="19760"/>
    <n v="16993.599999999999"/>
    <n v="42266.639999999992"/>
    <n v="-5513.0399999999936"/>
    <n v="-0.13043478260869554"/>
    <d v="2014-10-01T00:00:00"/>
    <n v="10"/>
    <s v="October"/>
    <s v="2014"/>
  </r>
  <r>
    <x v="0"/>
    <s v="United States of America"/>
    <s v="Velo"/>
    <s v="Medium"/>
    <n v="1421"/>
    <n v="120"/>
    <n v="20"/>
    <n v="28420"/>
    <n v="1989.4"/>
    <n v="26430.6"/>
    <n v="14210"/>
    <n v="12220.599999999999"/>
    <n v="29866.577999999994"/>
    <n v="-3435.9779999999955"/>
    <n v="-0.11504424778761049"/>
    <d v="2013-12-01T00:00:00"/>
    <n v="12"/>
    <s v="December"/>
    <s v="2013"/>
  </r>
  <r>
    <x v="4"/>
    <s v="United States of America"/>
    <s v="Velo"/>
    <s v="Medium"/>
    <n v="1372"/>
    <n v="120"/>
    <n v="300"/>
    <n v="411600"/>
    <n v="28812"/>
    <n v="382788"/>
    <n v="343000"/>
    <n v="39788"/>
    <n v="325369.8"/>
    <n v="57418.200000000012"/>
    <n v="0.17647058823529416"/>
    <d v="2014-12-01T00:00:00"/>
    <n v="12"/>
    <s v="December"/>
    <s v="2014"/>
  </r>
  <r>
    <x v="0"/>
    <s v="Germany"/>
    <s v="Velo"/>
    <s v="Medium"/>
    <n v="588"/>
    <n v="120"/>
    <n v="20"/>
    <n v="11760"/>
    <n v="823.2"/>
    <n v="10936.8"/>
    <n v="5880"/>
    <n v="5056.7999999999993"/>
    <n v="10718.063999999998"/>
    <n v="218.73600000000079"/>
    <n v="2.0408163265306197E-2"/>
    <d v="2013-12-01T00:00:00"/>
    <n v="12"/>
    <s v="December"/>
    <s v="2013"/>
  </r>
  <r>
    <x v="2"/>
    <s v="Canada"/>
    <s v="VTT"/>
    <s v="Medium"/>
    <n v="3244.5"/>
    <n v="250"/>
    <n v="12"/>
    <n v="38934"/>
    <n v="2725.38"/>
    <n v="36208.620000000003"/>
    <n v="9733.5"/>
    <n v="26475.120000000003"/>
    <n v="40915.740599999997"/>
    <n v="-4707.1205999999947"/>
    <n v="-0.11504424778761049"/>
    <d v="2014-01-01T00:00:00"/>
    <n v="1"/>
    <s v="January"/>
    <s v="2014"/>
  </r>
  <r>
    <x v="4"/>
    <s v="France"/>
    <s v="VTT"/>
    <s v="Medium"/>
    <n v="959"/>
    <n v="250"/>
    <n v="300"/>
    <n v="287700"/>
    <n v="20139"/>
    <n v="267561"/>
    <n v="239750"/>
    <n v="27811"/>
    <n v="232778.07"/>
    <n v="34782.929999999993"/>
    <n v="0.1494252873563218"/>
    <d v="2014-02-01T00:00:00"/>
    <n v="2"/>
    <s v="February"/>
    <s v="2014"/>
  </r>
  <r>
    <x v="4"/>
    <s v="Mexico"/>
    <s v="VTT"/>
    <s v="Medium"/>
    <n v="2747"/>
    <n v="250"/>
    <n v="300"/>
    <n v="824100"/>
    <n v="57687"/>
    <n v="766413"/>
    <n v="686750"/>
    <n v="79663"/>
    <n v="666779.30999999994"/>
    <n v="99633.690000000061"/>
    <n v="0.14942528735632193"/>
    <d v="2014-02-01T00:00:00"/>
    <n v="2"/>
    <s v="February"/>
    <s v="2014"/>
  </r>
  <r>
    <x v="3"/>
    <s v="Canada"/>
    <s v="Amarilla"/>
    <s v="Medium"/>
    <n v="1645"/>
    <n v="260"/>
    <n v="125"/>
    <n v="205625"/>
    <n v="14393.75"/>
    <n v="191231.25"/>
    <n v="197400"/>
    <n v="-6168.75"/>
    <n v="181669.6875"/>
    <n v="9561.5625"/>
    <n v="5.2631578947368418E-2"/>
    <d v="2014-05-01T00:00:00"/>
    <n v="5"/>
    <s v="May"/>
    <s v="2014"/>
  </r>
  <r>
    <x v="0"/>
    <s v="France"/>
    <s v="Amarilla"/>
    <s v="Medium"/>
    <n v="2876"/>
    <n v="260"/>
    <n v="350"/>
    <n v="1006600"/>
    <n v="70462"/>
    <n v="936138"/>
    <n v="747760"/>
    <n v="188378"/>
    <n v="814440.05999999994"/>
    <n v="121697.94000000006"/>
    <n v="0.14942528735632193"/>
    <d v="2014-09-01T00:00:00"/>
    <n v="9"/>
    <s v="September"/>
    <s v="2014"/>
  </r>
  <r>
    <x v="3"/>
    <s v="Germany"/>
    <s v="Amarilla"/>
    <s v="Medium"/>
    <n v="994"/>
    <n v="260"/>
    <n v="125"/>
    <n v="124250"/>
    <n v="8697.5"/>
    <n v="115552.5"/>
    <n v="119280"/>
    <n v="-3727.5"/>
    <n v="123641.175"/>
    <n v="-8088.6750000000029"/>
    <n v="-6.5420560747663573E-2"/>
    <d v="2013-09-01T00:00:00"/>
    <n v="9"/>
    <s v="September"/>
    <s v="2013"/>
  </r>
  <r>
    <x v="0"/>
    <s v="Canada"/>
    <s v="Amarilla"/>
    <s v="Medium"/>
    <n v="1118"/>
    <n v="260"/>
    <n v="20"/>
    <n v="22360"/>
    <n v="1565.2"/>
    <n v="20794.8"/>
    <n v="11180"/>
    <n v="9614.7999999999993"/>
    <n v="19755.059999999998"/>
    <n v="1039.7400000000016"/>
    <n v="5.2631578947368508E-2"/>
    <d v="2014-11-01T00:00:00"/>
    <n v="11"/>
    <s v="November"/>
    <s v="2014"/>
  </r>
  <r>
    <x v="4"/>
    <s v="United States of America"/>
    <s v="Amarilla"/>
    <s v="Medium"/>
    <n v="1372"/>
    <n v="260"/>
    <n v="300"/>
    <n v="411600"/>
    <n v="28812"/>
    <n v="382788"/>
    <n v="343000"/>
    <n v="39788"/>
    <n v="421066.80000000005"/>
    <n v="-38278.800000000047"/>
    <n v="-9.0909090909091009E-2"/>
    <d v="2014-12-01T00:00:00"/>
    <n v="12"/>
    <s v="December"/>
    <s v="2014"/>
  </r>
  <r>
    <x v="0"/>
    <s v="Canada"/>
    <s v="Montana"/>
    <s v="Medium"/>
    <n v="488"/>
    <n v="5"/>
    <n v="7"/>
    <n v="3416"/>
    <n v="273.27999999999997"/>
    <n v="3142.7200000000003"/>
    <n v="2440"/>
    <n v="702.72000000000025"/>
    <n v="3017.0111999999999"/>
    <n v="125.70880000000034"/>
    <n v="4.1666666666666782E-2"/>
    <d v="2014-02-01T00:00:00"/>
    <n v="2"/>
    <s v="February"/>
    <s v="2014"/>
  </r>
  <r>
    <x v="0"/>
    <s v="United States of America"/>
    <s v="Montana"/>
    <s v="Medium"/>
    <n v="1282"/>
    <n v="5"/>
    <n v="20"/>
    <n v="25640"/>
    <n v="2051.1999999999998"/>
    <n v="23588.799999999999"/>
    <n v="12820"/>
    <n v="10768.8"/>
    <n v="23588.799999999999"/>
    <n v="0"/>
    <n v="0"/>
    <d v="2014-06-01T00:00:00"/>
    <n v="6"/>
    <s v="June"/>
    <s v="2014"/>
  </r>
  <r>
    <x v="0"/>
    <s v="Canada"/>
    <s v="Paseo"/>
    <s v="Medium"/>
    <n v="257"/>
    <n v="10"/>
    <n v="7"/>
    <n v="1799"/>
    <n v="143.91999999999999"/>
    <n v="1655.08"/>
    <n v="1285"/>
    <n v="370.07999999999993"/>
    <n v="1572.3259999999998"/>
    <n v="82.754000000000133"/>
    <n v="5.2631578947368515E-2"/>
    <d v="2014-05-01T00:00:00"/>
    <n v="5"/>
    <s v="May"/>
    <s v="2014"/>
  </r>
  <r>
    <x v="0"/>
    <s v="United States of America"/>
    <s v="Amarilla"/>
    <s v="Medium"/>
    <n v="1282"/>
    <n v="260"/>
    <n v="20"/>
    <n v="25640"/>
    <n v="2051.1999999999998"/>
    <n v="23588.799999999999"/>
    <n v="12820"/>
    <n v="10768.8"/>
    <n v="23352.912"/>
    <n v="235.88799999999901"/>
    <n v="1.0101010101010059E-2"/>
    <d v="2014-06-01T00:00:00"/>
    <n v="6"/>
    <s v="June"/>
    <s v="2014"/>
  </r>
  <r>
    <x v="3"/>
    <s v="Mexico"/>
    <s v="Carretera"/>
    <s v="Medium"/>
    <n v="1540"/>
    <n v="3"/>
    <n v="125"/>
    <n v="192500"/>
    <n v="15400"/>
    <n v="177100"/>
    <n v="184800"/>
    <n v="-7700"/>
    <n v="182413"/>
    <n v="-5313"/>
    <n v="-2.9126213592233011E-2"/>
    <d v="2014-08-01T00:00:00"/>
    <n v="8"/>
    <s v="August"/>
    <s v="2014"/>
  </r>
  <r>
    <x v="1"/>
    <s v="France"/>
    <s v="Carretera"/>
    <s v="Medium"/>
    <n v="490"/>
    <n v="3"/>
    <n v="15"/>
    <n v="7350"/>
    <n v="588"/>
    <n v="6762"/>
    <n v="4900"/>
    <n v="1862"/>
    <n v="6626.76"/>
    <n v="135.23999999999978"/>
    <n v="2.040816326530609E-2"/>
    <d v="2014-11-01T00:00:00"/>
    <n v="11"/>
    <s v="November"/>
    <s v="2014"/>
  </r>
  <r>
    <x v="0"/>
    <s v="Mexico"/>
    <s v="Carretera"/>
    <s v="Medium"/>
    <n v="1362"/>
    <n v="3"/>
    <n v="350"/>
    <n v="476700"/>
    <n v="38136"/>
    <n v="438564"/>
    <n v="354120"/>
    <n v="84444"/>
    <n v="478034.76"/>
    <n v="-39470.760000000009"/>
    <n v="-8.256880733944956E-2"/>
    <d v="2014-12-01T00:00:00"/>
    <n v="12"/>
    <s v="December"/>
    <s v="2014"/>
  </r>
  <r>
    <x v="1"/>
    <s v="France"/>
    <s v="Montana"/>
    <s v="Medium"/>
    <n v="2501"/>
    <n v="5"/>
    <n v="15"/>
    <n v="37515"/>
    <n v="3001.2"/>
    <n v="34513.800000000003"/>
    <n v="25010"/>
    <n v="9503.8000000000029"/>
    <n v="31407.558000000005"/>
    <n v="3106.2419999999984"/>
    <n v="9.8901098901098841E-2"/>
    <d v="2014-03-01T00:00:00"/>
    <n v="3"/>
    <s v="March"/>
    <s v="2014"/>
  </r>
  <r>
    <x v="0"/>
    <s v="Canada"/>
    <s v="Montana"/>
    <s v="Medium"/>
    <n v="708"/>
    <n v="5"/>
    <n v="20"/>
    <n v="14160"/>
    <n v="1132.8"/>
    <n v="13027.2"/>
    <n v="7080"/>
    <n v="5947.2000000000007"/>
    <n v="13287.744000000001"/>
    <n v="-260.54399999999987"/>
    <n v="-1.9607843137254891E-2"/>
    <d v="2014-06-01T00:00:00"/>
    <n v="6"/>
    <s v="June"/>
    <s v="2014"/>
  </r>
  <r>
    <x v="0"/>
    <s v="Germany"/>
    <s v="Montana"/>
    <s v="Medium"/>
    <n v="645"/>
    <n v="5"/>
    <n v="20"/>
    <n v="12900"/>
    <n v="1032"/>
    <n v="11868"/>
    <n v="6450"/>
    <n v="5418"/>
    <n v="12817.44"/>
    <n v="-949.44000000000051"/>
    <n v="-7.4074074074074112E-2"/>
    <d v="2014-07-01T00:00:00"/>
    <n v="7"/>
    <s v="July"/>
    <s v="2014"/>
  </r>
  <r>
    <x v="4"/>
    <s v="France"/>
    <s v="Montana"/>
    <s v="Medium"/>
    <n v="1562"/>
    <n v="5"/>
    <n v="300"/>
    <n v="468600"/>
    <n v="37488"/>
    <n v="431112"/>
    <n v="390500"/>
    <n v="40612"/>
    <n v="478534.32000000007"/>
    <n v="-47422.320000000065"/>
    <n v="-9.9099099099099225E-2"/>
    <d v="2014-08-01T00:00:00"/>
    <n v="8"/>
    <s v="August"/>
    <s v="2014"/>
  </r>
  <r>
    <x v="4"/>
    <s v="Canada"/>
    <s v="Montana"/>
    <s v="Medium"/>
    <n v="1283"/>
    <n v="5"/>
    <n v="300"/>
    <n v="384900"/>
    <n v="30792"/>
    <n v="354108"/>
    <n v="320750"/>
    <n v="33358"/>
    <n v="403683.11999999994"/>
    <n v="-49575.119999999937"/>
    <n v="-0.12280701754385952"/>
    <d v="2013-09-01T00:00:00"/>
    <n v="9"/>
    <s v="September"/>
    <s v="2013"/>
  </r>
  <r>
    <x v="1"/>
    <s v="Germany"/>
    <s v="Montana"/>
    <s v="Medium"/>
    <n v="711"/>
    <n v="5"/>
    <n v="15"/>
    <n v="10665"/>
    <n v="853.2"/>
    <n v="9811.7999999999993"/>
    <n v="7110"/>
    <n v="2701.7999999999993"/>
    <n v="10106.153999999999"/>
    <n v="-294.35399999999936"/>
    <n v="-2.9126213592232952E-2"/>
    <d v="2014-12-01T00:00:00"/>
    <n v="12"/>
    <s v="December"/>
    <s v="2014"/>
  </r>
  <r>
    <x v="3"/>
    <s v="Mexico"/>
    <s v="Paseo"/>
    <s v="Medium"/>
    <n v="1114"/>
    <n v="10"/>
    <n v="125"/>
    <n v="139250"/>
    <n v="11140"/>
    <n v="128110"/>
    <n v="133680"/>
    <n v="-5570"/>
    <n v="128110"/>
    <n v="0"/>
    <n v="0"/>
    <d v="2014-03-01T00:00:00"/>
    <n v="3"/>
    <s v="March"/>
    <s v="2014"/>
  </r>
  <r>
    <x v="0"/>
    <s v="Germany"/>
    <s v="Paseo"/>
    <s v="Medium"/>
    <n v="1259"/>
    <n v="10"/>
    <n v="7"/>
    <n v="8813"/>
    <n v="705.04"/>
    <n v="8107.96"/>
    <n v="6295"/>
    <n v="1812.96"/>
    <n v="8837.6764000000003"/>
    <n v="-729.71640000000025"/>
    <n v="-8.2568807339449574E-2"/>
    <d v="2014-04-01T00:00:00"/>
    <n v="4"/>
    <s v="April"/>
    <s v="2014"/>
  </r>
  <r>
    <x v="0"/>
    <s v="Germany"/>
    <s v="Paseo"/>
    <s v="Medium"/>
    <n v="1095"/>
    <n v="10"/>
    <n v="7"/>
    <n v="7665"/>
    <n v="613.20000000000005"/>
    <n v="7051.8"/>
    <n v="5475"/>
    <n v="1576.8000000000002"/>
    <n v="7615.9440000000004"/>
    <n v="-564.14400000000023"/>
    <n v="-7.4074074074074098E-2"/>
    <d v="2014-05-01T00:00:00"/>
    <n v="5"/>
    <s v="May"/>
    <s v="2014"/>
  </r>
  <r>
    <x v="0"/>
    <s v="Germany"/>
    <s v="Paseo"/>
    <s v="Medium"/>
    <n v="1366"/>
    <n v="10"/>
    <n v="20"/>
    <n v="27320"/>
    <n v="2185.6"/>
    <n v="25134.400000000001"/>
    <n v="13660"/>
    <n v="11474.400000000001"/>
    <n v="25134.400000000001"/>
    <n v="0"/>
    <n v="0"/>
    <d v="2014-06-01T00:00:00"/>
    <n v="6"/>
    <s v="June"/>
    <s v="2014"/>
  </r>
  <r>
    <x v="4"/>
    <s v="Mexico"/>
    <s v="Paseo"/>
    <s v="Medium"/>
    <n v="2460"/>
    <n v="10"/>
    <n v="300"/>
    <n v="738000"/>
    <n v="59040"/>
    <n v="678960"/>
    <n v="615000"/>
    <n v="63960"/>
    <n v="604274.4"/>
    <n v="74685.599999999977"/>
    <n v="0.12359550561797748"/>
    <d v="2014-06-01T00:00:00"/>
    <n v="6"/>
    <s v="June"/>
    <s v="2014"/>
  </r>
  <r>
    <x v="0"/>
    <s v="United States of America"/>
    <s v="Paseo"/>
    <s v="Medium"/>
    <n v="678"/>
    <n v="10"/>
    <n v="7"/>
    <n v="4746"/>
    <n v="379.68"/>
    <n v="4366.32"/>
    <n v="3390"/>
    <n v="976.31999999999971"/>
    <n v="3973.3512000000001"/>
    <n v="392.96879999999965"/>
    <n v="9.8901098901098813E-2"/>
    <d v="2014-08-01T00:00:00"/>
    <n v="8"/>
    <s v="August"/>
    <s v="2014"/>
  </r>
  <r>
    <x v="0"/>
    <s v="Germany"/>
    <s v="Paseo"/>
    <s v="Medium"/>
    <n v="1598"/>
    <n v="10"/>
    <n v="7"/>
    <n v="11186"/>
    <n v="894.88"/>
    <n v="10291.120000000001"/>
    <n v="7990"/>
    <n v="2301.1200000000008"/>
    <n v="11526.054400000003"/>
    <n v="-1234.9344000000019"/>
    <n v="-0.10714285714285729"/>
    <d v="2014-08-01T00:00:00"/>
    <n v="8"/>
    <s v="August"/>
    <s v="2014"/>
  </r>
  <r>
    <x v="0"/>
    <s v="Germany"/>
    <s v="Paseo"/>
    <s v="Medium"/>
    <n v="2409"/>
    <n v="10"/>
    <n v="7"/>
    <n v="16863"/>
    <n v="1349.04"/>
    <n v="15513.96"/>
    <n v="12045"/>
    <n v="3468.9599999999991"/>
    <n v="14117.703599999999"/>
    <n v="1396.2564000000002"/>
    <n v="9.8901098901098924E-2"/>
    <d v="2013-09-01T00:00:00"/>
    <n v="9"/>
    <s v="September"/>
    <s v="2013"/>
  </r>
  <r>
    <x v="0"/>
    <s v="Germany"/>
    <s v="Paseo"/>
    <s v="Medium"/>
    <n v="1934"/>
    <n v="10"/>
    <n v="20"/>
    <n v="38680"/>
    <n v="3094.4"/>
    <n v="35585.599999999999"/>
    <n v="19340"/>
    <n v="16245.599999999999"/>
    <n v="38432.448000000004"/>
    <n v="-2846.8480000000054"/>
    <n v="-7.4074074074074209E-2"/>
    <d v="2014-09-01T00:00:00"/>
    <n v="9"/>
    <s v="September"/>
    <s v="2014"/>
  </r>
  <r>
    <x v="0"/>
    <s v="Mexico"/>
    <s v="Paseo"/>
    <s v="Medium"/>
    <n v="2993"/>
    <n v="10"/>
    <n v="20"/>
    <n v="59860"/>
    <n v="4788.8"/>
    <n v="55071.199999999997"/>
    <n v="29930"/>
    <n v="25141.199999999997"/>
    <n v="58375.472000000002"/>
    <n v="-3304.2720000000045"/>
    <n v="-5.6603773584905738E-2"/>
    <d v="2014-09-01T00:00:00"/>
    <n v="9"/>
    <s v="September"/>
    <s v="2014"/>
  </r>
  <r>
    <x v="0"/>
    <s v="Germany"/>
    <s v="Paseo"/>
    <s v="Medium"/>
    <n v="2146"/>
    <n v="10"/>
    <n v="350"/>
    <n v="751100"/>
    <n v="60088"/>
    <n v="691012"/>
    <n v="557960"/>
    <n v="133052"/>
    <n v="594270.31999999995"/>
    <n v="96741.680000000051"/>
    <n v="0.1627906976744187"/>
    <d v="2013-11-01T00:00:00"/>
    <n v="11"/>
    <s v="November"/>
    <s v="2013"/>
  </r>
  <r>
    <x v="0"/>
    <s v="Mexico"/>
    <s v="Paseo"/>
    <s v="Medium"/>
    <n v="1946"/>
    <n v="10"/>
    <n v="7"/>
    <n v="13622"/>
    <n v="1089.76"/>
    <n v="12532.24"/>
    <n v="9730"/>
    <n v="2802.24"/>
    <n v="12281.5952"/>
    <n v="250.64480000000003"/>
    <n v="2.0408163265306124E-2"/>
    <d v="2013-12-01T00:00:00"/>
    <n v="12"/>
    <s v="December"/>
    <s v="2013"/>
  </r>
  <r>
    <x v="0"/>
    <s v="Mexico"/>
    <s v="Paseo"/>
    <s v="Medium"/>
    <n v="1362"/>
    <n v="10"/>
    <n v="350"/>
    <n v="476700"/>
    <n v="38136"/>
    <n v="438564"/>
    <n v="354120"/>
    <n v="84444"/>
    <n v="464877.84"/>
    <n v="-26313.840000000026"/>
    <n v="-5.660377358490571E-2"/>
    <d v="2014-12-01T00:00:00"/>
    <n v="12"/>
    <s v="December"/>
    <s v="2014"/>
  </r>
  <r>
    <x v="2"/>
    <s v="Canada"/>
    <s v="Velo"/>
    <s v="Medium"/>
    <n v="598"/>
    <n v="120"/>
    <n v="12"/>
    <n v="7176"/>
    <n v="574.08000000000004"/>
    <n v="6601.92"/>
    <n v="1794"/>
    <n v="4807.92"/>
    <n v="6535.9008000000003"/>
    <n v="66.019199999999728"/>
    <n v="1.0101010101010059E-2"/>
    <d v="2014-03-01T00:00:00"/>
    <n v="3"/>
    <s v="March"/>
    <s v="2014"/>
  </r>
  <r>
    <x v="0"/>
    <s v="United States of America"/>
    <s v="Velo"/>
    <s v="Medium"/>
    <n v="2907"/>
    <n v="120"/>
    <n v="7"/>
    <n v="20349"/>
    <n v="1627.92"/>
    <n v="18721.080000000002"/>
    <n v="14535"/>
    <n v="4186.0800000000017"/>
    <n v="16661.761200000001"/>
    <n v="2059.3188000000009"/>
    <n v="0.12359550561797758"/>
    <d v="2014-06-01T00:00:00"/>
    <n v="6"/>
    <s v="June"/>
    <s v="2014"/>
  </r>
  <r>
    <x v="0"/>
    <s v="Germany"/>
    <s v="Velo"/>
    <s v="Medium"/>
    <n v="2338"/>
    <n v="120"/>
    <n v="7"/>
    <n v="16366"/>
    <n v="1309.28"/>
    <n v="15056.72"/>
    <n v="11690"/>
    <n v="3366.7199999999993"/>
    <n v="15658.988799999999"/>
    <n v="-602.26879999999983"/>
    <n v="-3.846153846153845E-2"/>
    <d v="2014-06-01T00:00:00"/>
    <n v="6"/>
    <s v="June"/>
    <s v="2014"/>
  </r>
  <r>
    <x v="4"/>
    <s v="France"/>
    <s v="Velo"/>
    <s v="Medium"/>
    <n v="386"/>
    <n v="120"/>
    <n v="300"/>
    <n v="115800"/>
    <n v="9264"/>
    <n v="106536"/>
    <n v="96500"/>
    <n v="10036"/>
    <n v="122516.4"/>
    <n v="-15980.399999999994"/>
    <n v="-0.13043478260869562"/>
    <d v="2013-11-01T00:00:00"/>
    <n v="11"/>
    <s v="November"/>
    <s v="2013"/>
  </r>
  <r>
    <x v="4"/>
    <s v="Mexico"/>
    <s v="Velo"/>
    <s v="Medium"/>
    <n v="635"/>
    <n v="120"/>
    <n v="300"/>
    <n v="190500"/>
    <n v="15240"/>
    <n v="175260"/>
    <n v="158750"/>
    <n v="16510"/>
    <n v="168249.60000000001"/>
    <n v="7010.3999999999942"/>
    <n v="4.166666666666663E-2"/>
    <d v="2014-12-01T00:00:00"/>
    <n v="12"/>
    <s v="December"/>
    <s v="2014"/>
  </r>
  <r>
    <x v="0"/>
    <s v="France"/>
    <s v="VTT"/>
    <s v="Medium"/>
    <n v="574.5"/>
    <n v="250"/>
    <n v="350"/>
    <n v="201075"/>
    <n v="16086"/>
    <n v="184989"/>
    <n v="149370"/>
    <n v="35619"/>
    <n v="186838.89"/>
    <n v="-1849.890000000014"/>
    <n v="-9.9009900990099757E-3"/>
    <d v="2014-04-01T00:00:00"/>
    <n v="4"/>
    <s v="April"/>
    <s v="2014"/>
  </r>
  <r>
    <x v="0"/>
    <s v="Germany"/>
    <s v="VTT"/>
    <s v="Medium"/>
    <n v="2338"/>
    <n v="250"/>
    <n v="7"/>
    <n v="16366"/>
    <n v="1309.28"/>
    <n v="15056.72"/>
    <n v="11690"/>
    <n v="3366.7199999999993"/>
    <n v="13249.9136"/>
    <n v="1806.8063999999995"/>
    <n v="0.13636363636363633"/>
    <d v="2014-06-01T00:00:00"/>
    <n v="6"/>
    <s v="June"/>
    <s v="2014"/>
  </r>
  <r>
    <x v="0"/>
    <s v="France"/>
    <s v="VTT"/>
    <s v="Medium"/>
    <n v="381"/>
    <n v="250"/>
    <n v="350"/>
    <n v="133350"/>
    <n v="10668"/>
    <n v="122682"/>
    <n v="99060"/>
    <n v="23622"/>
    <n v="128816.1"/>
    <n v="-6134.1000000000058"/>
    <n v="-4.7619047619047665E-2"/>
    <d v="2014-08-01T00:00:00"/>
    <n v="8"/>
    <s v="August"/>
    <s v="2014"/>
  </r>
  <r>
    <x v="0"/>
    <s v="Germany"/>
    <s v="VTT"/>
    <s v="Medium"/>
    <n v="422"/>
    <n v="250"/>
    <n v="350"/>
    <n v="147700"/>
    <n v="11816"/>
    <n v="135884"/>
    <n v="109720"/>
    <n v="26164"/>
    <n v="154907.75999999998"/>
    <n v="-19023.75999999998"/>
    <n v="-0.12280701754385953"/>
    <d v="2014-08-01T00:00:00"/>
    <n v="8"/>
    <s v="August"/>
    <s v="2014"/>
  </r>
  <r>
    <x v="4"/>
    <s v="Canada"/>
    <s v="VTT"/>
    <s v="Medium"/>
    <n v="2134"/>
    <n v="250"/>
    <n v="300"/>
    <n v="640200"/>
    <n v="51216"/>
    <n v="588984"/>
    <n v="533500"/>
    <n v="55484"/>
    <n v="677331.6"/>
    <n v="-88347.599999999977"/>
    <n v="-0.13043478260869562"/>
    <d v="2014-09-01T00:00:00"/>
    <n v="9"/>
    <s v="September"/>
    <s v="2014"/>
  </r>
  <r>
    <x v="4"/>
    <s v="United States of America"/>
    <s v="VTT"/>
    <s v="Medium"/>
    <n v="808"/>
    <n v="250"/>
    <n v="300"/>
    <n v="242400"/>
    <n v="19392"/>
    <n v="223008"/>
    <n v="202000"/>
    <n v="21008"/>
    <n v="245308.80000000002"/>
    <n v="-22300.800000000017"/>
    <n v="-9.0909090909090967E-2"/>
    <d v="2013-12-01T00:00:00"/>
    <n v="12"/>
    <s v="December"/>
    <s v="2013"/>
  </r>
  <r>
    <x v="0"/>
    <s v="Canada"/>
    <s v="Amarilla"/>
    <s v="Medium"/>
    <n v="708"/>
    <n v="260"/>
    <n v="20"/>
    <n v="14160"/>
    <n v="1132.8"/>
    <n v="13027.2"/>
    <n v="7080"/>
    <n v="5947.2000000000007"/>
    <n v="14590.464000000002"/>
    <n v="-1563.264000000001"/>
    <n v="-0.10714285714285721"/>
    <d v="2014-06-01T00:00:00"/>
    <n v="6"/>
    <s v="June"/>
    <s v="2014"/>
  </r>
  <r>
    <x v="0"/>
    <s v="United States of America"/>
    <s v="Amarilla"/>
    <s v="Medium"/>
    <n v="2907"/>
    <n v="260"/>
    <n v="7"/>
    <n v="20349"/>
    <n v="1627.92"/>
    <n v="18721.080000000002"/>
    <n v="14535"/>
    <n v="4186.0800000000017"/>
    <n v="20218.766400000004"/>
    <n v="-1497.6864000000023"/>
    <n v="-7.4074074074074167E-2"/>
    <d v="2014-06-01T00:00:00"/>
    <n v="6"/>
    <s v="June"/>
    <s v="2014"/>
  </r>
  <r>
    <x v="0"/>
    <s v="Germany"/>
    <s v="Amarilla"/>
    <s v="Medium"/>
    <n v="1366"/>
    <n v="260"/>
    <n v="20"/>
    <n v="27320"/>
    <n v="2185.6"/>
    <n v="25134.400000000001"/>
    <n v="13660"/>
    <n v="11474.400000000001"/>
    <n v="22118.272000000001"/>
    <n v="3016.1280000000006"/>
    <n v="0.13636363636363638"/>
    <d v="2014-06-01T00:00:00"/>
    <n v="6"/>
    <s v="June"/>
    <s v="2014"/>
  </r>
  <r>
    <x v="4"/>
    <s v="Mexico"/>
    <s v="Amarilla"/>
    <s v="Medium"/>
    <n v="2460"/>
    <n v="260"/>
    <n v="300"/>
    <n v="738000"/>
    <n v="59040"/>
    <n v="678960"/>
    <n v="615000"/>
    <n v="63960"/>
    <n v="590695.19999999995"/>
    <n v="88264.800000000047"/>
    <n v="0.14942528735632193"/>
    <d v="2014-06-01T00:00:00"/>
    <n v="6"/>
    <s v="June"/>
    <s v="2014"/>
  </r>
  <r>
    <x v="0"/>
    <s v="Germany"/>
    <s v="Amarilla"/>
    <s v="Medium"/>
    <n v="1520"/>
    <n v="260"/>
    <n v="20"/>
    <n v="30400"/>
    <n v="2432"/>
    <n v="27968"/>
    <n v="15200"/>
    <n v="12768"/>
    <n v="26289.919999999998"/>
    <n v="1678.0800000000017"/>
    <n v="6.3829787234042618E-2"/>
    <d v="2014-11-01T00:00:00"/>
    <n v="11"/>
    <s v="November"/>
    <s v="2014"/>
  </r>
  <r>
    <x v="1"/>
    <s v="Germany"/>
    <s v="Amarilla"/>
    <s v="Medium"/>
    <n v="711"/>
    <n v="260"/>
    <n v="15"/>
    <n v="10665"/>
    <n v="853.2"/>
    <n v="9811.7999999999993"/>
    <n v="7110"/>
    <n v="2701.7999999999993"/>
    <n v="8732.5019999999986"/>
    <n v="1079.2980000000007"/>
    <n v="0.12359550561797762"/>
    <d v="2014-12-01T00:00:00"/>
    <n v="12"/>
    <s v="December"/>
    <s v="2014"/>
  </r>
  <r>
    <x v="2"/>
    <s v="Mexico"/>
    <s v="Amarilla"/>
    <s v="Medium"/>
    <n v="1375"/>
    <n v="260"/>
    <n v="12"/>
    <n v="16500"/>
    <n v="1320"/>
    <n v="15180"/>
    <n v="4125"/>
    <n v="11055"/>
    <n v="16242.6"/>
    <n v="-1062.6000000000004"/>
    <n v="-6.5420560747663573E-2"/>
    <d v="2013-12-01T00:00:00"/>
    <n v="12"/>
    <s v="December"/>
    <s v="2013"/>
  </r>
  <r>
    <x v="4"/>
    <s v="Mexico"/>
    <s v="Amarilla"/>
    <s v="Medium"/>
    <n v="635"/>
    <n v="260"/>
    <n v="300"/>
    <n v="190500"/>
    <n v="15240"/>
    <n v="175260"/>
    <n v="158750"/>
    <n v="16510"/>
    <n v="157734"/>
    <n v="17526"/>
    <n v="0.1111111111111111"/>
    <d v="2014-12-01T00:00:00"/>
    <n v="12"/>
    <s v="December"/>
    <s v="2014"/>
  </r>
  <r>
    <x v="0"/>
    <s v="United States of America"/>
    <s v="VTT"/>
    <s v="Medium"/>
    <n v="436.5"/>
    <n v="250"/>
    <n v="20"/>
    <n v="8730"/>
    <n v="698.40000000000009"/>
    <n v="8031.5999999999995"/>
    <n v="4365"/>
    <n v="3666.5999999999995"/>
    <n v="7389.0720000000001"/>
    <n v="642.52799999999934"/>
    <n v="8.6956521739130349E-2"/>
    <d v="2014-07-01T00:00:00"/>
    <n v="7"/>
    <s v="July"/>
    <s v="2014"/>
  </r>
  <r>
    <x v="4"/>
    <s v="Canada"/>
    <s v="Carretera"/>
    <s v="Medium"/>
    <n v="1094"/>
    <n v="3"/>
    <n v="300"/>
    <n v="328200"/>
    <n v="29538"/>
    <n v="298662"/>
    <n v="273500"/>
    <n v="25162"/>
    <n v="289702.14"/>
    <n v="8959.859999999986"/>
    <n v="3.0927835051546341E-2"/>
    <d v="2014-06-01T00:00:00"/>
    <n v="6"/>
    <s v="June"/>
    <s v="2014"/>
  </r>
  <r>
    <x v="2"/>
    <s v="Mexico"/>
    <s v="Carretera"/>
    <s v="Medium"/>
    <n v="367"/>
    <n v="3"/>
    <n v="12"/>
    <n v="4404"/>
    <n v="396.36"/>
    <n v="4007.64"/>
    <n v="1101"/>
    <n v="2906.64"/>
    <n v="4208.0219999999999"/>
    <n v="-200.38200000000006"/>
    <n v="-4.7619047619047637E-2"/>
    <d v="2013-10-01T00:00:00"/>
    <n v="10"/>
    <s v="October"/>
    <s v="2013"/>
  </r>
  <r>
    <x v="4"/>
    <s v="Canada"/>
    <s v="Montana"/>
    <s v="Medium"/>
    <n v="3802.5"/>
    <n v="5"/>
    <n v="300"/>
    <n v="1140750"/>
    <n v="102667.5"/>
    <n v="1038082.5"/>
    <n v="950625"/>
    <n v="87457.5"/>
    <n v="955035.9"/>
    <n v="83046.599999999977"/>
    <n v="8.6956521739130405E-2"/>
    <d v="2014-04-01T00:00:00"/>
    <n v="4"/>
    <s v="April"/>
    <s v="2014"/>
  </r>
  <r>
    <x v="0"/>
    <s v="France"/>
    <s v="Montana"/>
    <s v="Medium"/>
    <n v="1666"/>
    <n v="5"/>
    <n v="350"/>
    <n v="583100"/>
    <n v="52479"/>
    <n v="530621"/>
    <n v="433160"/>
    <n v="97461"/>
    <n v="530621"/>
    <n v="0"/>
    <n v="0"/>
    <d v="2014-05-01T00:00:00"/>
    <n v="5"/>
    <s v="May"/>
    <s v="2014"/>
  </r>
  <r>
    <x v="4"/>
    <s v="France"/>
    <s v="Montana"/>
    <s v="Medium"/>
    <n v="322"/>
    <n v="5"/>
    <n v="300"/>
    <n v="96600"/>
    <n v="8694"/>
    <n v="87906"/>
    <n v="80500"/>
    <n v="7406"/>
    <n v="99333.779999999984"/>
    <n v="-11427.779999999984"/>
    <n v="-0.11504424778761048"/>
    <d v="2013-09-01T00:00:00"/>
    <n v="9"/>
    <s v="September"/>
    <s v="2013"/>
  </r>
  <r>
    <x v="2"/>
    <s v="Canada"/>
    <s v="Montana"/>
    <s v="Medium"/>
    <n v="2321"/>
    <n v="5"/>
    <n v="12"/>
    <n v="27852"/>
    <n v="2506.6799999999998"/>
    <n v="25345.32"/>
    <n v="6963"/>
    <n v="18382.32"/>
    <n v="23064.2412"/>
    <n v="2281.0787999999993"/>
    <n v="9.8901098901098869E-2"/>
    <d v="2014-11-01T00:00:00"/>
    <n v="11"/>
    <s v="November"/>
    <s v="2014"/>
  </r>
  <r>
    <x v="3"/>
    <s v="France"/>
    <s v="Montana"/>
    <s v="Medium"/>
    <n v="1857"/>
    <n v="5"/>
    <n v="125"/>
    <n v="232125"/>
    <n v="20891.25"/>
    <n v="211233.75"/>
    <n v="222840"/>
    <n v="-11606.25"/>
    <n v="190110.375"/>
    <n v="21123.375"/>
    <n v="0.1111111111111111"/>
    <d v="2013-11-01T00:00:00"/>
    <n v="11"/>
    <s v="November"/>
    <s v="2013"/>
  </r>
  <r>
    <x v="0"/>
    <s v="Canada"/>
    <s v="Montana"/>
    <s v="Medium"/>
    <n v="1611"/>
    <n v="5"/>
    <n v="7"/>
    <n v="11277"/>
    <n v="1014.93"/>
    <n v="10262.07"/>
    <n v="8055"/>
    <n v="2207.0699999999997"/>
    <n v="9748.9664999999986"/>
    <n v="513.10350000000108"/>
    <n v="5.2631578947368536E-2"/>
    <d v="2013-12-01T00:00:00"/>
    <n v="12"/>
    <s v="December"/>
    <s v="2013"/>
  </r>
  <r>
    <x v="3"/>
    <s v="United States of America"/>
    <s v="Montana"/>
    <s v="Medium"/>
    <n v="2797"/>
    <n v="5"/>
    <n v="125"/>
    <n v="349625"/>
    <n v="31466.25"/>
    <n v="318158.75"/>
    <n v="335640"/>
    <n v="-17481.25"/>
    <n v="279979.7"/>
    <n v="38179.049999999988"/>
    <n v="0.13636363636363633"/>
    <d v="2014-12-01T00:00:00"/>
    <n v="12"/>
    <s v="December"/>
    <s v="2014"/>
  </r>
  <r>
    <x v="4"/>
    <s v="Germany"/>
    <s v="Montana"/>
    <s v="Medium"/>
    <n v="334"/>
    <n v="5"/>
    <n v="300"/>
    <n v="100200"/>
    <n v="9018"/>
    <n v="91182"/>
    <n v="83500"/>
    <n v="7682"/>
    <n v="83887.44"/>
    <n v="7294.5599999999977"/>
    <n v="8.6956521739130405E-2"/>
    <d v="2013-12-01T00:00:00"/>
    <n v="12"/>
    <s v="December"/>
    <s v="2013"/>
  </r>
  <r>
    <x v="4"/>
    <s v="Mexico"/>
    <s v="Paseo"/>
    <s v="Medium"/>
    <n v="2565"/>
    <n v="10"/>
    <n v="300"/>
    <n v="769500"/>
    <n v="69255"/>
    <n v="700245"/>
    <n v="641250"/>
    <n v="58995"/>
    <n v="658230.29999999993"/>
    <n v="42014.70000000007"/>
    <n v="6.3829787234042659E-2"/>
    <d v="2014-01-01T00:00:00"/>
    <n v="1"/>
    <s v="January"/>
    <s v="2014"/>
  </r>
  <r>
    <x v="0"/>
    <s v="Mexico"/>
    <s v="Paseo"/>
    <s v="Medium"/>
    <n v="2417"/>
    <n v="10"/>
    <n v="350"/>
    <n v="845950"/>
    <n v="76135.5"/>
    <n v="769814.5"/>
    <n v="628420"/>
    <n v="141394.5"/>
    <n v="677436.76"/>
    <n v="92377.739999999991"/>
    <n v="0.13636363636363635"/>
    <d v="2014-01-01T00:00:00"/>
    <n v="1"/>
    <s v="January"/>
    <s v="2014"/>
  </r>
  <r>
    <x v="1"/>
    <s v="United States of America"/>
    <s v="Paseo"/>
    <s v="Medium"/>
    <n v="3675"/>
    <n v="10"/>
    <n v="15"/>
    <n v="55125"/>
    <n v="4961.25"/>
    <n v="50163.75"/>
    <n v="36750"/>
    <n v="13413.75"/>
    <n v="45649.012500000004"/>
    <n v="4514.7374999999956"/>
    <n v="9.89010989010988E-2"/>
    <d v="2014-04-01T00:00:00"/>
    <n v="4"/>
    <s v="April"/>
    <s v="2014"/>
  </r>
  <r>
    <x v="4"/>
    <s v="Canada"/>
    <s v="Paseo"/>
    <s v="Medium"/>
    <n v="1094"/>
    <n v="10"/>
    <n v="300"/>
    <n v="328200"/>
    <n v="29538"/>
    <n v="298662"/>
    <n v="273500"/>
    <n v="25162"/>
    <n v="331514.82"/>
    <n v="-32852.820000000007"/>
    <n v="-9.9099099099099114E-2"/>
    <d v="2014-06-01T00:00:00"/>
    <n v="6"/>
    <s v="June"/>
    <s v="2014"/>
  </r>
  <r>
    <x v="1"/>
    <s v="France"/>
    <s v="Paseo"/>
    <s v="Medium"/>
    <n v="1227"/>
    <n v="10"/>
    <n v="15"/>
    <n v="18405"/>
    <n v="1656.45"/>
    <n v="16748.55"/>
    <n v="12270"/>
    <n v="4478.5499999999993"/>
    <n v="16078.607999999998"/>
    <n v="669.94200000000092"/>
    <n v="4.1666666666666727E-2"/>
    <d v="2014-10-01T00:00:00"/>
    <n v="10"/>
    <s v="October"/>
    <s v="2014"/>
  </r>
  <r>
    <x v="2"/>
    <s v="Mexico"/>
    <s v="Paseo"/>
    <s v="Medium"/>
    <n v="367"/>
    <n v="10"/>
    <n v="12"/>
    <n v="4404"/>
    <n v="396.36"/>
    <n v="4007.64"/>
    <n v="1101"/>
    <n v="2906.64"/>
    <n v="4047.7163999999998"/>
    <n v="-40.076399999999921"/>
    <n v="-9.900990099009882E-3"/>
    <d v="2013-10-01T00:00:00"/>
    <n v="10"/>
    <s v="October"/>
    <s v="2013"/>
  </r>
  <r>
    <x v="4"/>
    <s v="France"/>
    <s v="Paseo"/>
    <s v="Medium"/>
    <n v="1324"/>
    <n v="10"/>
    <n v="300"/>
    <n v="397200"/>
    <n v="35748"/>
    <n v="361452"/>
    <n v="331000"/>
    <n v="30452"/>
    <n v="404826.24000000005"/>
    <n v="-43374.240000000049"/>
    <n v="-0.10714285714285725"/>
    <d v="2014-11-01T00:00:00"/>
    <n v="11"/>
    <s v="November"/>
    <s v="2014"/>
  </r>
  <r>
    <x v="2"/>
    <s v="Germany"/>
    <s v="Paseo"/>
    <s v="Medium"/>
    <n v="1775"/>
    <n v="10"/>
    <n v="12"/>
    <n v="21300"/>
    <n v="1917"/>
    <n v="19383"/>
    <n v="5325"/>
    <n v="14058"/>
    <n v="17832.36"/>
    <n v="1550.6399999999994"/>
    <n v="8.6956521739130405E-2"/>
    <d v="2013-11-01T00:00:00"/>
    <n v="11"/>
    <s v="November"/>
    <s v="2013"/>
  </r>
  <r>
    <x v="3"/>
    <s v="United States of America"/>
    <s v="Paseo"/>
    <s v="Medium"/>
    <n v="2797"/>
    <n v="10"/>
    <n v="125"/>
    <n v="349625"/>
    <n v="31466.25"/>
    <n v="318158.75"/>
    <n v="335640"/>
    <n v="-17481.25"/>
    <n v="356337.80000000005"/>
    <n v="-38179.050000000047"/>
    <n v="-0.10714285714285726"/>
    <d v="2014-12-01T00:00:00"/>
    <n v="12"/>
    <s v="December"/>
    <s v="2014"/>
  </r>
  <r>
    <x v="1"/>
    <s v="Mexico"/>
    <s v="Velo"/>
    <s v="Medium"/>
    <n v="245"/>
    <n v="120"/>
    <n v="15"/>
    <n v="3675"/>
    <n v="330.75"/>
    <n v="3344.25"/>
    <n v="2450"/>
    <n v="894.25"/>
    <n v="3678.6750000000002"/>
    <n v="-334.42500000000018"/>
    <n v="-9.0909090909090953E-2"/>
    <d v="2014-05-01T00:00:00"/>
    <n v="5"/>
    <s v="May"/>
    <s v="2014"/>
  </r>
  <r>
    <x v="4"/>
    <s v="Canada"/>
    <s v="Velo"/>
    <s v="Medium"/>
    <n v="3793.5"/>
    <n v="120"/>
    <n v="300"/>
    <n v="1138050"/>
    <n v="102424.5"/>
    <n v="1035625.5"/>
    <n v="948375"/>
    <n v="87250.5"/>
    <n v="932062.95000000007"/>
    <n v="103562.54999999993"/>
    <n v="0.11111111111111102"/>
    <d v="2014-07-01T00:00:00"/>
    <n v="7"/>
    <s v="July"/>
    <s v="2014"/>
  </r>
  <r>
    <x v="0"/>
    <s v="Germany"/>
    <s v="Velo"/>
    <s v="Medium"/>
    <n v="1307"/>
    <n v="120"/>
    <n v="350"/>
    <n v="457450"/>
    <n v="41170.5"/>
    <n v="416279.5"/>
    <n v="339820"/>
    <n v="76459.5"/>
    <n v="403791.11499999999"/>
    <n v="12488.385000000009"/>
    <n v="3.0927835051546417E-2"/>
    <d v="2014-07-01T00:00:00"/>
    <n v="7"/>
    <s v="July"/>
    <s v="2014"/>
  </r>
  <r>
    <x v="3"/>
    <s v="Canada"/>
    <s v="Velo"/>
    <s v="Medium"/>
    <n v="567"/>
    <n v="120"/>
    <n v="125"/>
    <n v="70875"/>
    <n v="6378.75"/>
    <n v="64496.25"/>
    <n v="68040"/>
    <n v="-3543.75"/>
    <n v="68366.025000000009"/>
    <n v="-3869.7750000000087"/>
    <n v="-5.660377358490578E-2"/>
    <d v="2014-09-01T00:00:00"/>
    <n v="9"/>
    <s v="September"/>
    <s v="2014"/>
  </r>
  <r>
    <x v="3"/>
    <s v="Mexico"/>
    <s v="Velo"/>
    <s v="Medium"/>
    <n v="2110"/>
    <n v="120"/>
    <n v="125"/>
    <n v="263750"/>
    <n v="23737.5"/>
    <n v="240012.5"/>
    <n v="253200"/>
    <n v="-13187.5"/>
    <n v="206410.75"/>
    <n v="33601.75"/>
    <n v="0.16279069767441862"/>
    <d v="2014-09-01T00:00:00"/>
    <n v="9"/>
    <s v="September"/>
    <s v="2014"/>
  </r>
  <r>
    <x v="0"/>
    <s v="Canada"/>
    <s v="Velo"/>
    <s v="Medium"/>
    <n v="1269"/>
    <n v="120"/>
    <n v="350"/>
    <n v="444150"/>
    <n v="39973.5"/>
    <n v="404176.5"/>
    <n v="329940"/>
    <n v="74236.5"/>
    <n v="428427.09"/>
    <n v="-24250.590000000026"/>
    <n v="-5.6603773584905717E-2"/>
    <d v="2014-10-01T00:00:00"/>
    <n v="10"/>
    <s v="October"/>
    <s v="2014"/>
  </r>
  <r>
    <x v="2"/>
    <s v="United States of America"/>
    <s v="VTT"/>
    <s v="Medium"/>
    <n v="1956"/>
    <n v="250"/>
    <n v="12"/>
    <n v="23472"/>
    <n v="2112.48"/>
    <n v="21359.52"/>
    <n v="5868"/>
    <n v="15491.52"/>
    <n v="19009.9728"/>
    <n v="2349.5472000000009"/>
    <n v="0.12359550561797758"/>
    <d v="2014-01-01T00:00:00"/>
    <n v="1"/>
    <s v="January"/>
    <s v="2014"/>
  </r>
  <r>
    <x v="4"/>
    <s v="Germany"/>
    <s v="VTT"/>
    <s v="Medium"/>
    <n v="2659"/>
    <n v="250"/>
    <n v="300"/>
    <n v="797700"/>
    <n v="71793"/>
    <n v="725907"/>
    <n v="664750"/>
    <n v="61157"/>
    <n v="617020.94999999995"/>
    <n v="108886.05000000005"/>
    <n v="0.17647058823529421"/>
    <d v="2014-02-01T00:00:00"/>
    <n v="2"/>
    <s v="February"/>
    <s v="2014"/>
  </r>
  <r>
    <x v="0"/>
    <s v="United States of America"/>
    <s v="VTT"/>
    <s v="Medium"/>
    <n v="1351.5"/>
    <n v="250"/>
    <n v="350"/>
    <n v="473025"/>
    <n v="42572.25"/>
    <n v="430452.75"/>
    <n v="351390"/>
    <n v="79062.75"/>
    <n v="378798.42"/>
    <n v="51654.330000000016"/>
    <n v="0.13636363636363641"/>
    <d v="2014-04-01T00:00:00"/>
    <n v="4"/>
    <s v="April"/>
    <s v="2014"/>
  </r>
  <r>
    <x v="2"/>
    <s v="Germany"/>
    <s v="VTT"/>
    <s v="Medium"/>
    <n v="880"/>
    <n v="250"/>
    <n v="12"/>
    <n v="10560"/>
    <n v="950.4"/>
    <n v="9609.6"/>
    <n v="2640"/>
    <n v="6969.6"/>
    <n v="9033.0239999999994"/>
    <n v="576.57600000000093"/>
    <n v="6.3829787234042659E-2"/>
    <d v="2014-05-01T00:00:00"/>
    <n v="5"/>
    <s v="May"/>
    <s v="2014"/>
  </r>
  <r>
    <x v="4"/>
    <s v="United States of America"/>
    <s v="VTT"/>
    <s v="Medium"/>
    <n v="1867"/>
    <n v="250"/>
    <n v="300"/>
    <n v="560100"/>
    <n v="50409"/>
    <n v="509691"/>
    <n v="466750"/>
    <n v="42941"/>
    <n v="479109.54"/>
    <n v="30581.460000000021"/>
    <n v="6.3829787234042604E-2"/>
    <d v="2014-09-01T00:00:00"/>
    <n v="9"/>
    <s v="September"/>
    <s v="2014"/>
  </r>
  <r>
    <x v="2"/>
    <s v="France"/>
    <s v="VTT"/>
    <s v="Medium"/>
    <n v="2234"/>
    <n v="250"/>
    <n v="12"/>
    <n v="26808"/>
    <n v="2412.7199999999998"/>
    <n v="24395.279999999999"/>
    <n v="6702"/>
    <n v="17693.28"/>
    <n v="23907.374399999997"/>
    <n v="487.90560000000187"/>
    <n v="2.0408163265306204E-2"/>
    <d v="2013-09-01T00:00:00"/>
    <n v="9"/>
    <s v="September"/>
    <s v="2013"/>
  </r>
  <r>
    <x v="1"/>
    <s v="France"/>
    <s v="VTT"/>
    <s v="Medium"/>
    <n v="1227"/>
    <n v="250"/>
    <n v="15"/>
    <n v="18405"/>
    <n v="1656.45"/>
    <n v="16748.55"/>
    <n v="12270"/>
    <n v="4478.5499999999993"/>
    <n v="18088.434000000001"/>
    <n v="-1339.8840000000018"/>
    <n v="-7.4074074074074167E-2"/>
    <d v="2014-10-01T00:00:00"/>
    <n v="10"/>
    <s v="October"/>
    <s v="2014"/>
  </r>
  <r>
    <x v="3"/>
    <s v="Mexico"/>
    <s v="VTT"/>
    <s v="Medium"/>
    <n v="877"/>
    <n v="250"/>
    <n v="125"/>
    <n v="109625"/>
    <n v="9866.25"/>
    <n v="99758.75"/>
    <n v="105240"/>
    <n v="-5481.25"/>
    <n v="96765.987500000003"/>
    <n v="2992.7624999999971"/>
    <n v="3.0927835051546362E-2"/>
    <d v="2014-11-01T00:00:00"/>
    <n v="11"/>
    <s v="November"/>
    <s v="2014"/>
  </r>
  <r>
    <x v="0"/>
    <s v="United States of America"/>
    <s v="Amarilla"/>
    <s v="Medium"/>
    <n v="2071"/>
    <n v="260"/>
    <n v="350"/>
    <n v="724850"/>
    <n v="65236.5"/>
    <n v="659613.5"/>
    <n v="538460"/>
    <n v="121153.5"/>
    <n v="679401.90500000003"/>
    <n v="-19788.405000000028"/>
    <n v="-2.9126213592233049E-2"/>
    <d v="2014-09-01T00:00:00"/>
    <n v="9"/>
    <s v="September"/>
    <s v="2014"/>
  </r>
  <r>
    <x v="0"/>
    <s v="Canada"/>
    <s v="Amarilla"/>
    <s v="Medium"/>
    <n v="1269"/>
    <n v="260"/>
    <n v="350"/>
    <n v="444150"/>
    <n v="39973.5"/>
    <n v="404176.5"/>
    <n v="329940"/>
    <n v="74236.5"/>
    <n v="412260.03"/>
    <n v="-8083.5300000000279"/>
    <n v="-1.9607843137254968E-2"/>
    <d v="2014-10-01T00:00:00"/>
    <n v="10"/>
    <s v="October"/>
    <s v="2014"/>
  </r>
  <r>
    <x v="1"/>
    <s v="Germany"/>
    <s v="Amarilla"/>
    <s v="Medium"/>
    <n v="970"/>
    <n v="260"/>
    <n v="15"/>
    <n v="14550"/>
    <n v="1309.5"/>
    <n v="13240.5"/>
    <n v="9700"/>
    <n v="3540.5"/>
    <n v="14564.550000000001"/>
    <n v="-1324.0500000000011"/>
    <n v="-9.0909090909090981E-2"/>
    <d v="2013-11-01T00:00:00"/>
    <n v="11"/>
    <s v="November"/>
    <s v="2013"/>
  </r>
  <r>
    <x v="0"/>
    <s v="Mexico"/>
    <s v="Amarilla"/>
    <s v="Medium"/>
    <n v="1694"/>
    <n v="260"/>
    <n v="20"/>
    <n v="33880"/>
    <n v="3049.2"/>
    <n v="30830.799999999999"/>
    <n v="16940"/>
    <n v="13890.8"/>
    <n v="34222.188000000002"/>
    <n v="-3391.3880000000026"/>
    <n v="-9.9099099099099169E-2"/>
    <d v="2014-11-01T00:00:00"/>
    <n v="11"/>
    <s v="November"/>
    <s v="2014"/>
  </r>
  <r>
    <x v="0"/>
    <s v="Germany"/>
    <s v="Carretera"/>
    <s v="Medium"/>
    <n v="663"/>
    <n v="3"/>
    <n v="20"/>
    <n v="13260"/>
    <n v="1193.4000000000001"/>
    <n v="12066.6"/>
    <n v="6630"/>
    <n v="5436.6"/>
    <n v="13514.592000000002"/>
    <n v="-1447.992000000002"/>
    <n v="-0.10714285714285728"/>
    <d v="2014-05-01T00:00:00"/>
    <n v="5"/>
    <s v="May"/>
    <s v="2014"/>
  </r>
  <r>
    <x v="0"/>
    <s v="Canada"/>
    <s v="Carretera"/>
    <s v="Medium"/>
    <n v="819"/>
    <n v="3"/>
    <n v="7"/>
    <n v="5733"/>
    <n v="515.97"/>
    <n v="5217.03"/>
    <n v="4095"/>
    <n v="1122.03"/>
    <n v="5738.7330000000002"/>
    <n v="-521.70300000000043"/>
    <n v="-9.0909090909090981E-2"/>
    <d v="2014-07-01T00:00:00"/>
    <n v="7"/>
    <s v="July"/>
    <s v="2014"/>
  </r>
  <r>
    <x v="2"/>
    <s v="Germany"/>
    <s v="Carretera"/>
    <s v="Medium"/>
    <n v="1580"/>
    <n v="3"/>
    <n v="12"/>
    <n v="18960"/>
    <n v="1706.4"/>
    <n v="17253.599999999999"/>
    <n v="4740"/>
    <n v="12513.599999999999"/>
    <n v="19324.031999999999"/>
    <n v="-2070.4320000000007"/>
    <n v="-0.10714285714285718"/>
    <d v="2014-09-01T00:00:00"/>
    <n v="9"/>
    <s v="September"/>
    <s v="2014"/>
  </r>
  <r>
    <x v="0"/>
    <s v="Mexico"/>
    <s v="Carretera"/>
    <s v="Medium"/>
    <n v="521"/>
    <n v="3"/>
    <n v="7"/>
    <n v="3647"/>
    <n v="328.23"/>
    <n v="3318.77"/>
    <n v="2605"/>
    <n v="713.77"/>
    <n v="3385.1453999999999"/>
    <n v="-66.3753999999999"/>
    <n v="-1.9607843137254874E-2"/>
    <d v="2014-12-01T00:00:00"/>
    <n v="12"/>
    <s v="December"/>
    <s v="2014"/>
  </r>
  <r>
    <x v="0"/>
    <s v="United States of America"/>
    <s v="Paseo"/>
    <s v="Medium"/>
    <n v="973"/>
    <n v="10"/>
    <n v="20"/>
    <n v="19460"/>
    <n v="1751.4"/>
    <n v="17708.599999999999"/>
    <n v="9730"/>
    <n v="7978.5999999999985"/>
    <n v="16468.998"/>
    <n v="1239.601999999999"/>
    <n v="7.5268817204301008E-2"/>
    <d v="2014-03-01T00:00:00"/>
    <n v="3"/>
    <s v="March"/>
    <s v="2014"/>
  </r>
  <r>
    <x v="0"/>
    <s v="Mexico"/>
    <s v="Paseo"/>
    <s v="Medium"/>
    <n v="1038"/>
    <n v="10"/>
    <n v="20"/>
    <n v="20760"/>
    <n v="1868.4"/>
    <n v="18891.599999999999"/>
    <n v="10380"/>
    <n v="8511.5999999999985"/>
    <n v="21158.592000000001"/>
    <n v="-2266.992000000002"/>
    <n v="-0.10714285714285723"/>
    <d v="2014-06-01T00:00:00"/>
    <n v="6"/>
    <s v="June"/>
    <s v="2014"/>
  </r>
  <r>
    <x v="0"/>
    <s v="Germany"/>
    <s v="Paseo"/>
    <s v="Medium"/>
    <n v="360"/>
    <n v="10"/>
    <n v="7"/>
    <n v="2520"/>
    <n v="226.8"/>
    <n v="2293.1999999999998"/>
    <n v="1800"/>
    <n v="493.19999999999982"/>
    <n v="2614.2479999999996"/>
    <n v="-321.04799999999977"/>
    <n v="-0.12280701754385959"/>
    <d v="2014-10-01T00:00:00"/>
    <n v="10"/>
    <s v="October"/>
    <s v="2014"/>
  </r>
  <r>
    <x v="2"/>
    <s v="France"/>
    <s v="Velo"/>
    <s v="Medium"/>
    <n v="1967"/>
    <n v="120"/>
    <n v="12"/>
    <n v="23604"/>
    <n v="2124.36"/>
    <n v="21479.64"/>
    <n v="5901"/>
    <n v="15578.64"/>
    <n v="23842.400400000002"/>
    <n v="-2362.7604000000028"/>
    <n v="-9.9099099099099211E-2"/>
    <d v="2014-03-01T00:00:00"/>
    <n v="3"/>
    <s v="March"/>
    <s v="2014"/>
  </r>
  <r>
    <x v="1"/>
    <s v="Mexico"/>
    <s v="Velo"/>
    <s v="Medium"/>
    <n v="2628"/>
    <n v="120"/>
    <n v="15"/>
    <n v="39420"/>
    <n v="3547.8"/>
    <n v="35872.199999999997"/>
    <n v="26280"/>
    <n v="9592.1999999999971"/>
    <n v="38024.531999999999"/>
    <n v="-2152.3320000000022"/>
    <n v="-5.6603773584905717E-2"/>
    <d v="2014-04-01T00:00:00"/>
    <n v="4"/>
    <s v="April"/>
    <s v="2014"/>
  </r>
  <r>
    <x v="0"/>
    <s v="Germany"/>
    <s v="VTT"/>
    <s v="Medium"/>
    <n v="360"/>
    <n v="250"/>
    <n v="7"/>
    <n v="2520"/>
    <n v="226.8"/>
    <n v="2293.1999999999998"/>
    <n v="1800"/>
    <n v="493.19999999999982"/>
    <n v="2614.2479999999996"/>
    <n v="-321.04799999999977"/>
    <n v="-0.12280701754385959"/>
    <d v="2014-10-01T00:00:00"/>
    <n v="10"/>
    <s v="October"/>
    <s v="2014"/>
  </r>
  <r>
    <x v="0"/>
    <s v="France"/>
    <s v="VTT"/>
    <s v="Medium"/>
    <n v="2682"/>
    <n v="250"/>
    <n v="20"/>
    <n v="53640"/>
    <n v="4827.6000000000004"/>
    <n v="48812.4"/>
    <n v="26820"/>
    <n v="21992.400000000001"/>
    <n v="51253.020000000004"/>
    <n v="-2440.6200000000026"/>
    <n v="-4.7619047619047665E-2"/>
    <d v="2013-11-01T00:00:00"/>
    <n v="11"/>
    <s v="November"/>
    <s v="2013"/>
  </r>
  <r>
    <x v="0"/>
    <s v="Mexico"/>
    <s v="VTT"/>
    <s v="Medium"/>
    <n v="521"/>
    <n v="250"/>
    <n v="7"/>
    <n v="3647"/>
    <n v="328.23"/>
    <n v="3318.77"/>
    <n v="2605"/>
    <n v="713.77"/>
    <n v="2820.9544999999998"/>
    <n v="497.81550000000016"/>
    <n v="0.17647058823529418"/>
    <d v="2014-12-01T00:00:00"/>
    <n v="12"/>
    <s v="December"/>
    <s v="2014"/>
  </r>
  <r>
    <x v="0"/>
    <s v="Mexico"/>
    <s v="Amarilla"/>
    <s v="Medium"/>
    <n v="1038"/>
    <n v="260"/>
    <n v="20"/>
    <n v="20760"/>
    <n v="1868.4"/>
    <n v="18891.599999999999"/>
    <n v="10380"/>
    <n v="8511.5999999999985"/>
    <n v="19080.516"/>
    <n v="-188.91600000000108"/>
    <n v="-9.9009900990099584E-3"/>
    <d v="2014-06-01T00:00:00"/>
    <n v="6"/>
    <s v="June"/>
    <s v="2014"/>
  </r>
  <r>
    <x v="1"/>
    <s v="Canada"/>
    <s v="Amarilla"/>
    <s v="Medium"/>
    <n v="1630.5"/>
    <n v="260"/>
    <n v="15"/>
    <n v="24457.5"/>
    <n v="2201.1750000000002"/>
    <n v="22256.324999999997"/>
    <n v="16305"/>
    <n v="5951.3249999999989"/>
    <n v="22478.888249999996"/>
    <n v="-222.56324999999924"/>
    <n v="-9.9009900990098682E-3"/>
    <d v="2014-07-01T00:00:00"/>
    <n v="7"/>
    <s v="July"/>
    <s v="2014"/>
  </r>
  <r>
    <x v="2"/>
    <s v="France"/>
    <s v="Amarilla"/>
    <s v="Medium"/>
    <n v="306"/>
    <n v="260"/>
    <n v="12"/>
    <n v="3672"/>
    <n v="330.48"/>
    <n v="3341.52"/>
    <n v="918"/>
    <n v="2423.52"/>
    <n v="3508.596"/>
    <n v="-167.07600000000002"/>
    <n v="-4.7619047619047623E-2"/>
    <d v="2013-12-01T00:00:00"/>
    <n v="12"/>
    <s v="December"/>
    <s v="2013"/>
  </r>
  <r>
    <x v="2"/>
    <s v="United States of America"/>
    <s v="Carretera"/>
    <s v="High"/>
    <n v="386"/>
    <n v="3"/>
    <n v="12"/>
    <n v="4632"/>
    <n v="463.2"/>
    <n v="4168.8"/>
    <n v="1158"/>
    <n v="3010.8"/>
    <n v="4252.1760000000004"/>
    <n v="-83.376000000000204"/>
    <n v="-1.9607843137254947E-2"/>
    <d v="2013-10-01T00:00:00"/>
    <n v="10"/>
    <s v="October"/>
    <s v="2013"/>
  </r>
  <r>
    <x v="0"/>
    <s v="United States of America"/>
    <s v="Montana"/>
    <s v="High"/>
    <n v="2328"/>
    <n v="5"/>
    <n v="7"/>
    <n v="16296"/>
    <n v="1629.6"/>
    <n v="14666.4"/>
    <n v="11640"/>
    <n v="3026.3999999999996"/>
    <n v="14079.743999999999"/>
    <n v="586.65600000000086"/>
    <n v="4.1666666666666734E-2"/>
    <d v="2014-09-01T00:00:00"/>
    <n v="9"/>
    <s v="September"/>
    <s v="2014"/>
  </r>
  <r>
    <x v="2"/>
    <s v="United States of America"/>
    <s v="Paseo"/>
    <s v="High"/>
    <n v="386"/>
    <n v="10"/>
    <n v="12"/>
    <n v="4632"/>
    <n v="463.2"/>
    <n v="4168.8"/>
    <n v="1158"/>
    <n v="3010.8"/>
    <n v="3585.1680000000001"/>
    <n v="583.63200000000006"/>
    <n v="0.16279069767441862"/>
    <d v="2013-10-01T00:00:00"/>
    <n v="10"/>
    <s v="October"/>
    <s v="2013"/>
  </r>
  <r>
    <x v="3"/>
    <s v="United States of America"/>
    <s v="Carretera"/>
    <s v="High"/>
    <n v="3445.5"/>
    <n v="3"/>
    <n v="125"/>
    <n v="430687.5"/>
    <n v="43068.75"/>
    <n v="387618.75"/>
    <n v="413460"/>
    <n v="-25841.25"/>
    <n v="375990.1875"/>
    <n v="11628.5625"/>
    <n v="3.0927835051546393E-2"/>
    <d v="2014-04-01T00:00:00"/>
    <n v="4"/>
    <s v="April"/>
    <s v="2014"/>
  </r>
  <r>
    <x v="3"/>
    <s v="France"/>
    <s v="Carretera"/>
    <s v="High"/>
    <n v="1482"/>
    <n v="3"/>
    <n v="125"/>
    <n v="185250"/>
    <n v="18525"/>
    <n v="166725"/>
    <n v="177840"/>
    <n v="-11115"/>
    <n v="186732.00000000003"/>
    <n v="-20007.000000000029"/>
    <n v="-0.10714285714285728"/>
    <d v="2013-12-01T00:00:00"/>
    <n v="12"/>
    <s v="December"/>
    <s v="2013"/>
  </r>
  <r>
    <x v="0"/>
    <s v="United States of America"/>
    <s v="Montana"/>
    <s v="High"/>
    <n v="2313"/>
    <n v="5"/>
    <n v="350"/>
    <n v="809550"/>
    <n v="80955"/>
    <n v="728595"/>
    <n v="601380"/>
    <n v="127215"/>
    <n v="626591.69999999995"/>
    <n v="102003.30000000005"/>
    <n v="0.1627906976744187"/>
    <d v="2014-05-01T00:00:00"/>
    <n v="5"/>
    <s v="May"/>
    <s v="2014"/>
  </r>
  <r>
    <x v="3"/>
    <s v="United States of America"/>
    <s v="Montana"/>
    <s v="High"/>
    <n v="1804"/>
    <n v="5"/>
    <n v="125"/>
    <n v="225500"/>
    <n v="22550"/>
    <n v="202950"/>
    <n v="216480"/>
    <n v="-13530"/>
    <n v="219186"/>
    <n v="-16236"/>
    <n v="-7.407407407407407E-2"/>
    <d v="2013-11-01T00:00:00"/>
    <n v="11"/>
    <s v="November"/>
    <s v="2013"/>
  </r>
  <r>
    <x v="1"/>
    <s v="France"/>
    <s v="Montana"/>
    <s v="High"/>
    <n v="2072"/>
    <n v="5"/>
    <n v="15"/>
    <n v="31080"/>
    <n v="3108"/>
    <n v="27972"/>
    <n v="20720"/>
    <n v="7252"/>
    <n v="26573.399999999998"/>
    <n v="1398.6000000000022"/>
    <n v="5.2631578947368508E-2"/>
    <d v="2014-12-01T00:00:00"/>
    <n v="12"/>
    <s v="December"/>
    <s v="2014"/>
  </r>
  <r>
    <x v="0"/>
    <s v="France"/>
    <s v="Paseo"/>
    <s v="High"/>
    <n v="1954"/>
    <n v="10"/>
    <n v="20"/>
    <n v="39080"/>
    <n v="3908"/>
    <n v="35172"/>
    <n v="19540"/>
    <n v="15632"/>
    <n v="33413.4"/>
    <n v="1758.5999999999985"/>
    <n v="5.2631578947368376E-2"/>
    <d v="2014-03-01T00:00:00"/>
    <n v="3"/>
    <s v="March"/>
    <s v="2014"/>
  </r>
  <r>
    <x v="4"/>
    <s v="Mexico"/>
    <s v="Paseo"/>
    <s v="High"/>
    <n v="591"/>
    <n v="10"/>
    <n v="300"/>
    <n v="177300"/>
    <n v="17730"/>
    <n v="159570"/>
    <n v="147750"/>
    <n v="11820"/>
    <n v="156378.6"/>
    <n v="3191.3999999999942"/>
    <n v="2.0408163265306086E-2"/>
    <d v="2014-05-01T00:00:00"/>
    <n v="5"/>
    <s v="May"/>
    <s v="2014"/>
  </r>
  <r>
    <x v="1"/>
    <s v="France"/>
    <s v="Paseo"/>
    <s v="High"/>
    <n v="2167"/>
    <n v="10"/>
    <n v="15"/>
    <n v="32505"/>
    <n v="3250.5"/>
    <n v="29254.5"/>
    <n v="21670"/>
    <n v="7584.5"/>
    <n v="28669.41"/>
    <n v="585.09000000000015"/>
    <n v="2.0408163265306128E-2"/>
    <d v="2013-10-01T00:00:00"/>
    <n v="10"/>
    <s v="October"/>
    <s v="2013"/>
  </r>
  <r>
    <x v="0"/>
    <s v="Germany"/>
    <s v="Paseo"/>
    <s v="High"/>
    <n v="241"/>
    <n v="10"/>
    <n v="20"/>
    <n v="4820"/>
    <n v="482"/>
    <n v="4338"/>
    <n v="2410"/>
    <n v="1928"/>
    <n v="4381.38"/>
    <n v="-43.380000000000109"/>
    <n v="-9.9009900990099254E-3"/>
    <d v="2014-10-01T00:00:00"/>
    <n v="10"/>
    <s v="October"/>
    <s v="2014"/>
  </r>
  <r>
    <x v="1"/>
    <s v="Germany"/>
    <s v="Velo"/>
    <s v="High"/>
    <n v="681"/>
    <n v="120"/>
    <n v="15"/>
    <n v="10215"/>
    <n v="1021.5"/>
    <n v="9193.5"/>
    <n v="6810"/>
    <n v="2383.5"/>
    <n v="9928.9800000000014"/>
    <n v="-735.48000000000138"/>
    <n v="-7.4074074074074209E-2"/>
    <d v="2014-01-01T00:00:00"/>
    <n v="1"/>
    <s v="January"/>
    <s v="2014"/>
  </r>
  <r>
    <x v="1"/>
    <s v="Germany"/>
    <s v="Velo"/>
    <s v="High"/>
    <n v="510"/>
    <n v="120"/>
    <n v="15"/>
    <n v="7650"/>
    <n v="765"/>
    <n v="6885"/>
    <n v="5100"/>
    <n v="1785"/>
    <n v="7711.2000000000007"/>
    <n v="-826.20000000000073"/>
    <n v="-0.10714285714285722"/>
    <d v="2014-04-01T00:00:00"/>
    <n v="4"/>
    <s v="April"/>
    <s v="2014"/>
  </r>
  <r>
    <x v="1"/>
    <s v="United States of America"/>
    <s v="Velo"/>
    <s v="High"/>
    <n v="790"/>
    <n v="120"/>
    <n v="15"/>
    <n v="11850"/>
    <n v="1185"/>
    <n v="10665"/>
    <n v="7900"/>
    <n v="2765"/>
    <n v="10131.75"/>
    <n v="533.25"/>
    <n v="5.2631578947368418E-2"/>
    <d v="2014-05-01T00:00:00"/>
    <n v="5"/>
    <s v="May"/>
    <s v="2014"/>
  </r>
  <r>
    <x v="0"/>
    <s v="France"/>
    <s v="Velo"/>
    <s v="High"/>
    <n v="639"/>
    <n v="120"/>
    <n v="350"/>
    <n v="223650"/>
    <n v="22365"/>
    <n v="201285"/>
    <n v="166140"/>
    <n v="35145"/>
    <n v="213362.1"/>
    <n v="-12077.100000000006"/>
    <n v="-5.6603773584905689E-2"/>
    <d v="2014-07-01T00:00:00"/>
    <n v="7"/>
    <s v="July"/>
    <s v="2014"/>
  </r>
  <r>
    <x v="3"/>
    <s v="United States of America"/>
    <s v="Velo"/>
    <s v="High"/>
    <n v="1596"/>
    <n v="120"/>
    <n v="125"/>
    <n v="199500"/>
    <n v="19950"/>
    <n v="179550"/>
    <n v="191520"/>
    <n v="-11970"/>
    <n v="190323"/>
    <n v="-10773"/>
    <n v="-5.6603773584905662E-2"/>
    <d v="2014-09-01T00:00:00"/>
    <n v="9"/>
    <s v="September"/>
    <s v="2014"/>
  </r>
  <r>
    <x v="4"/>
    <s v="United States of America"/>
    <s v="Velo"/>
    <s v="High"/>
    <n v="2294"/>
    <n v="120"/>
    <n v="300"/>
    <n v="688200"/>
    <n v="68820"/>
    <n v="619380"/>
    <n v="573500"/>
    <n v="45880"/>
    <n v="706093.2"/>
    <n v="-86713.199999999953"/>
    <n v="-0.12280701754385959"/>
    <d v="2013-10-01T00:00:00"/>
    <n v="10"/>
    <s v="October"/>
    <s v="2013"/>
  </r>
  <r>
    <x v="0"/>
    <s v="Germany"/>
    <s v="Velo"/>
    <s v="High"/>
    <n v="241"/>
    <n v="120"/>
    <n v="20"/>
    <n v="4820"/>
    <n v="482"/>
    <n v="4338"/>
    <n v="2410"/>
    <n v="1928"/>
    <n v="3730.68"/>
    <n v="607.32000000000016"/>
    <n v="0.16279069767441864"/>
    <d v="2014-10-01T00:00:00"/>
    <n v="10"/>
    <s v="October"/>
    <s v="2014"/>
  </r>
  <r>
    <x v="0"/>
    <s v="Germany"/>
    <s v="Velo"/>
    <s v="High"/>
    <n v="2665"/>
    <n v="120"/>
    <n v="7"/>
    <n v="18655"/>
    <n v="1865.5"/>
    <n v="16789.5"/>
    <n v="13325"/>
    <n v="3464.5"/>
    <n v="18132.66"/>
    <n v="-1343.1599999999999"/>
    <n v="-7.407407407407407E-2"/>
    <d v="2014-11-01T00:00:00"/>
    <n v="11"/>
    <s v="November"/>
    <s v="2014"/>
  </r>
  <r>
    <x v="3"/>
    <s v="Canada"/>
    <s v="Velo"/>
    <s v="High"/>
    <n v="1916"/>
    <n v="120"/>
    <n v="125"/>
    <n v="239500"/>
    <n v="23950"/>
    <n v="215550"/>
    <n v="229920"/>
    <n v="-14370"/>
    <n v="245726.99999999997"/>
    <n v="-30176.999999999971"/>
    <n v="-0.12280701754385955"/>
    <d v="2013-12-01T00:00:00"/>
    <n v="12"/>
    <s v="December"/>
    <s v="2013"/>
  </r>
  <r>
    <x v="4"/>
    <s v="France"/>
    <s v="Velo"/>
    <s v="High"/>
    <n v="853"/>
    <n v="120"/>
    <n v="300"/>
    <n v="255900"/>
    <n v="25590"/>
    <n v="230310"/>
    <n v="213250"/>
    <n v="17060"/>
    <n v="204975.9"/>
    <n v="25334.100000000006"/>
    <n v="0.12359550561797757"/>
    <d v="2014-12-01T00:00:00"/>
    <n v="12"/>
    <s v="December"/>
    <s v="2014"/>
  </r>
  <r>
    <x v="3"/>
    <s v="Mexico"/>
    <s v="VTT"/>
    <s v="High"/>
    <n v="341"/>
    <n v="250"/>
    <n v="125"/>
    <n v="42625"/>
    <n v="4262.5"/>
    <n v="38362.5"/>
    <n v="40920"/>
    <n v="-2557.5"/>
    <n v="34142.625"/>
    <n v="4219.875"/>
    <n v="0.12359550561797752"/>
    <d v="2014-05-01T00:00:00"/>
    <n v="5"/>
    <s v="May"/>
    <s v="2014"/>
  </r>
  <r>
    <x v="1"/>
    <s v="Mexico"/>
    <s v="VTT"/>
    <s v="High"/>
    <n v="641"/>
    <n v="250"/>
    <n v="15"/>
    <n v="9615"/>
    <n v="961.5"/>
    <n v="8653.5"/>
    <n v="6410"/>
    <n v="2243.5"/>
    <n v="9518.85"/>
    <n v="-865.35000000000036"/>
    <n v="-9.0909090909090939E-2"/>
    <d v="2014-07-01T00:00:00"/>
    <n v="7"/>
    <s v="July"/>
    <s v="2014"/>
  </r>
  <r>
    <x v="0"/>
    <s v="United States of America"/>
    <s v="VTT"/>
    <s v="High"/>
    <n v="2807"/>
    <n v="250"/>
    <n v="350"/>
    <n v="982450"/>
    <n v="98245"/>
    <n v="884205"/>
    <n v="729820"/>
    <n v="154385"/>
    <n v="1007993.7"/>
    <n v="-123788.69999999995"/>
    <n v="-0.12280701754385961"/>
    <d v="2014-08-01T00:00:00"/>
    <n v="8"/>
    <s v="August"/>
    <s v="2014"/>
  </r>
  <r>
    <x v="4"/>
    <s v="Mexico"/>
    <s v="VTT"/>
    <s v="High"/>
    <n v="432"/>
    <n v="250"/>
    <n v="300"/>
    <n v="129600"/>
    <n v="12960"/>
    <n v="116640"/>
    <n v="108000"/>
    <n v="8640"/>
    <n v="127137.60000000001"/>
    <n v="-10497.600000000006"/>
    <n v="-8.2568807339449588E-2"/>
    <d v="2014-09-01T00:00:00"/>
    <n v="9"/>
    <s v="September"/>
    <s v="2014"/>
  </r>
  <r>
    <x v="4"/>
    <s v="United States of America"/>
    <s v="VTT"/>
    <s v="High"/>
    <n v="2294"/>
    <n v="250"/>
    <n v="300"/>
    <n v="688200"/>
    <n v="68820"/>
    <n v="619380"/>
    <n v="573500"/>
    <n v="45880"/>
    <n v="551248.19999999995"/>
    <n v="68131.800000000047"/>
    <n v="0.12359550561797762"/>
    <d v="2013-10-01T00:00:00"/>
    <n v="10"/>
    <s v="October"/>
    <s v="2013"/>
  </r>
  <r>
    <x v="1"/>
    <s v="France"/>
    <s v="VTT"/>
    <s v="High"/>
    <n v="2167"/>
    <n v="250"/>
    <n v="15"/>
    <n v="32505"/>
    <n v="3250.5"/>
    <n v="29254.5"/>
    <n v="21670"/>
    <n v="7584.5"/>
    <n v="33642.674999999996"/>
    <n v="-4388.1749999999956"/>
    <n v="-0.13043478260869554"/>
    <d v="2013-10-01T00:00:00"/>
    <n v="10"/>
    <s v="October"/>
    <s v="2013"/>
  </r>
  <r>
    <x v="3"/>
    <s v="Canada"/>
    <s v="VTT"/>
    <s v="High"/>
    <n v="2529"/>
    <n v="250"/>
    <n v="125"/>
    <n v="316125"/>
    <n v="31612.5"/>
    <n v="284512.5"/>
    <n v="303480"/>
    <n v="-18967.5"/>
    <n v="318654.00000000006"/>
    <n v="-34141.500000000058"/>
    <n v="-0.1071428571428573"/>
    <d v="2014-11-01T00:00:00"/>
    <n v="11"/>
    <s v="November"/>
    <s v="2014"/>
  </r>
  <r>
    <x v="0"/>
    <s v="Germany"/>
    <s v="VTT"/>
    <s v="High"/>
    <n v="1870"/>
    <n v="250"/>
    <n v="350"/>
    <n v="654500"/>
    <n v="65450"/>
    <n v="589050"/>
    <n v="486200"/>
    <n v="102850"/>
    <n v="536035.5"/>
    <n v="53014.5"/>
    <n v="9.8901098901098897E-2"/>
    <d v="2013-12-01T00:00:00"/>
    <n v="12"/>
    <s v="December"/>
    <s v="2013"/>
  </r>
  <r>
    <x v="3"/>
    <s v="United States of America"/>
    <s v="Amarilla"/>
    <s v="High"/>
    <n v="579"/>
    <n v="260"/>
    <n v="125"/>
    <n v="72375"/>
    <n v="7237.5"/>
    <n v="65137.5"/>
    <n v="69480"/>
    <n v="-4342.5"/>
    <n v="72954"/>
    <n v="-7816.5"/>
    <n v="-0.10714285714285714"/>
    <d v="2014-01-01T00:00:00"/>
    <n v="1"/>
    <s v="January"/>
    <s v="2014"/>
  </r>
  <r>
    <x v="0"/>
    <s v="Canada"/>
    <s v="Amarilla"/>
    <s v="High"/>
    <n v="2240"/>
    <n v="260"/>
    <n v="350"/>
    <n v="784000"/>
    <n v="78400"/>
    <n v="705600"/>
    <n v="582400"/>
    <n v="123200"/>
    <n v="747936"/>
    <n v="-42336"/>
    <n v="-5.6603773584905662E-2"/>
    <d v="2014-02-01T00:00:00"/>
    <n v="2"/>
    <s v="February"/>
    <s v="2014"/>
  </r>
  <r>
    <x v="4"/>
    <s v="United States of America"/>
    <s v="Amarilla"/>
    <s v="High"/>
    <n v="2993"/>
    <n v="260"/>
    <n v="300"/>
    <n v="897900"/>
    <n v="89790"/>
    <n v="808110"/>
    <n v="748250"/>
    <n v="59860"/>
    <n v="872758.8"/>
    <n v="-64648.800000000047"/>
    <n v="-7.4074074074074125E-2"/>
    <d v="2014-03-01T00:00:00"/>
    <n v="3"/>
    <s v="March"/>
    <s v="2014"/>
  </r>
  <r>
    <x v="2"/>
    <s v="Canada"/>
    <s v="Amarilla"/>
    <s v="High"/>
    <n v="3520.5"/>
    <n v="260"/>
    <n v="12"/>
    <n v="42246"/>
    <n v="4224.6000000000004"/>
    <n v="38021.399999999994"/>
    <n v="10561.5"/>
    <n v="27459.899999999998"/>
    <n v="33078.617999999995"/>
    <n v="4942.7819999999992"/>
    <n v="0.14942528735632185"/>
    <d v="2014-04-01T00:00:00"/>
    <n v="4"/>
    <s v="April"/>
    <s v="2014"/>
  </r>
  <r>
    <x v="0"/>
    <s v="Mexico"/>
    <s v="Amarilla"/>
    <s v="High"/>
    <n v="2039"/>
    <n v="260"/>
    <n v="20"/>
    <n v="40780"/>
    <n v="4078"/>
    <n v="36702"/>
    <n v="20390"/>
    <n v="16312"/>
    <n v="41840.28"/>
    <n v="-5138.2799999999988"/>
    <n v="-0.12280701754385963"/>
    <d v="2014-05-01T00:00:00"/>
    <n v="5"/>
    <s v="May"/>
    <s v="2014"/>
  </r>
  <r>
    <x v="2"/>
    <s v="Germany"/>
    <s v="Amarilla"/>
    <s v="High"/>
    <n v="2574"/>
    <n v="260"/>
    <n v="12"/>
    <n v="30888"/>
    <n v="3088.8"/>
    <n v="27799.200000000001"/>
    <n v="7722"/>
    <n v="20077.2"/>
    <n v="27243.216"/>
    <n v="555.98400000000038"/>
    <n v="2.0408163265306135E-2"/>
    <d v="2014-08-01T00:00:00"/>
    <n v="8"/>
    <s v="August"/>
    <s v="2014"/>
  </r>
  <r>
    <x v="0"/>
    <s v="Canada"/>
    <s v="Amarilla"/>
    <s v="High"/>
    <n v="707"/>
    <n v="260"/>
    <n v="350"/>
    <n v="247450"/>
    <n v="24745"/>
    <n v="222705"/>
    <n v="183820"/>
    <n v="38885"/>
    <n v="256110.74999999997"/>
    <n v="-33405.749999999971"/>
    <n v="-0.13043478260869557"/>
    <d v="2014-09-01T00:00:00"/>
    <n v="9"/>
    <s v="September"/>
    <s v="2014"/>
  </r>
  <r>
    <x v="1"/>
    <s v="France"/>
    <s v="Amarilla"/>
    <s v="High"/>
    <n v="2072"/>
    <n v="260"/>
    <n v="15"/>
    <n v="31080"/>
    <n v="3108"/>
    <n v="27972"/>
    <n v="20720"/>
    <n v="7252"/>
    <n v="25734.240000000002"/>
    <n v="2237.7599999999984"/>
    <n v="8.6956521739130363E-2"/>
    <d v="2014-12-01T00:00:00"/>
    <n v="12"/>
    <s v="December"/>
    <s v="2014"/>
  </r>
  <r>
    <x v="4"/>
    <s v="France"/>
    <s v="Amarilla"/>
    <s v="High"/>
    <n v="853"/>
    <n v="260"/>
    <n v="300"/>
    <n v="255900"/>
    <n v="25590"/>
    <n v="230310"/>
    <n v="213250"/>
    <n v="17060"/>
    <n v="198066.6"/>
    <n v="32243.399999999994"/>
    <n v="0.16279069767441856"/>
    <d v="2014-12-01T00:00:00"/>
    <n v="12"/>
    <s v="December"/>
    <s v="2014"/>
  </r>
  <r>
    <x v="2"/>
    <s v="France"/>
    <s v="Carretera"/>
    <s v="High"/>
    <n v="1198"/>
    <n v="3"/>
    <n v="12"/>
    <n v="14376"/>
    <n v="1581.36"/>
    <n v="12794.64"/>
    <n v="3594"/>
    <n v="9200.64"/>
    <n v="11259.2832"/>
    <n v="1535.3567999999996"/>
    <n v="0.13636363636363633"/>
    <d v="2013-10-01T00:00:00"/>
    <n v="10"/>
    <s v="October"/>
    <s v="2013"/>
  </r>
  <r>
    <x v="0"/>
    <s v="France"/>
    <s v="Paseo"/>
    <s v="High"/>
    <n v="2532"/>
    <n v="10"/>
    <n v="7"/>
    <n v="17724"/>
    <n v="1949.6399999999999"/>
    <n v="15774.36"/>
    <n v="12660"/>
    <n v="3114.3599999999997"/>
    <n v="16247.590800000002"/>
    <n v="-473.23080000000118"/>
    <n v="-2.912621359223308E-2"/>
    <d v="2014-04-01T00:00:00"/>
    <n v="4"/>
    <s v="April"/>
    <s v="2014"/>
  </r>
  <r>
    <x v="2"/>
    <s v="France"/>
    <s v="Paseo"/>
    <s v="High"/>
    <n v="1198"/>
    <n v="10"/>
    <n v="12"/>
    <n v="14376"/>
    <n v="1581.36"/>
    <n v="12794.64"/>
    <n v="3594"/>
    <n v="9200.64"/>
    <n v="11643.1224"/>
    <n v="1151.5175999999992"/>
    <n v="9.8901098901098827E-2"/>
    <d v="2013-10-01T00:00:00"/>
    <n v="10"/>
    <s v="October"/>
    <s v="2013"/>
  </r>
  <r>
    <x v="1"/>
    <s v="Canada"/>
    <s v="Velo"/>
    <s v="High"/>
    <n v="384"/>
    <n v="120"/>
    <n v="15"/>
    <n v="5760"/>
    <n v="633.59999999999991"/>
    <n v="5126.3999999999996"/>
    <n v="3840"/>
    <n v="1286.3999999999999"/>
    <n v="5639.04"/>
    <n v="-512.64000000000033"/>
    <n v="-9.0909090909090967E-2"/>
    <d v="2014-01-01T00:00:00"/>
    <n v="1"/>
    <s v="January"/>
    <s v="2014"/>
  </r>
  <r>
    <x v="2"/>
    <s v="Germany"/>
    <s v="Velo"/>
    <s v="High"/>
    <n v="472"/>
    <n v="120"/>
    <n v="12"/>
    <n v="5664"/>
    <n v="623.04"/>
    <n v="5040.96"/>
    <n v="1416"/>
    <n v="3624.96"/>
    <n v="5091.3696"/>
    <n v="-50.409599999999955"/>
    <n v="-9.9009900990098924E-3"/>
    <d v="2014-10-01T00:00:00"/>
    <n v="10"/>
    <s v="October"/>
    <s v="2014"/>
  </r>
  <r>
    <x v="0"/>
    <s v="United States of America"/>
    <s v="VTT"/>
    <s v="High"/>
    <n v="1579"/>
    <n v="250"/>
    <n v="7"/>
    <n v="11053"/>
    <n v="1215.83"/>
    <n v="9837.17"/>
    <n v="7895"/>
    <n v="1942.17"/>
    <n v="10525.771900000002"/>
    <n v="-688.60190000000148"/>
    <n v="-6.5420560747663684E-2"/>
    <d v="2014-03-01T00:00:00"/>
    <n v="3"/>
    <s v="March"/>
    <s v="2014"/>
  </r>
  <r>
    <x v="2"/>
    <s v="Mexico"/>
    <s v="VTT"/>
    <s v="High"/>
    <n v="1005"/>
    <n v="250"/>
    <n v="12"/>
    <n v="12060"/>
    <n v="1326.6"/>
    <n v="10733.4"/>
    <n v="3015"/>
    <n v="7718.4"/>
    <n v="9445.3919999999998"/>
    <n v="1288.0079999999998"/>
    <n v="0.13636363636363635"/>
    <d v="2013-09-01T00:00:00"/>
    <n v="9"/>
    <s v="September"/>
    <s v="2013"/>
  </r>
  <r>
    <x v="1"/>
    <s v="United States of America"/>
    <s v="Amarilla"/>
    <s v="High"/>
    <n v="3199.5"/>
    <n v="260"/>
    <n v="15"/>
    <n v="47992.5"/>
    <n v="5279.1749999999993"/>
    <n v="42713.324999999997"/>
    <n v="31995"/>
    <n v="10718.324999999999"/>
    <n v="39723.392249999997"/>
    <n v="2989.9327499999999"/>
    <n v="7.5268817204301078E-2"/>
    <d v="2014-07-01T00:00:00"/>
    <n v="7"/>
    <s v="July"/>
    <s v="2014"/>
  </r>
  <r>
    <x v="2"/>
    <s v="Germany"/>
    <s v="Amarilla"/>
    <s v="High"/>
    <n v="472"/>
    <n v="260"/>
    <n v="12"/>
    <n v="5664"/>
    <n v="623.04"/>
    <n v="5040.96"/>
    <n v="1416"/>
    <n v="3624.96"/>
    <n v="4839.3216000000002"/>
    <n v="201.63839999999982"/>
    <n v="4.166666666666663E-2"/>
    <d v="2014-10-01T00:00:00"/>
    <n v="10"/>
    <s v="October"/>
    <s v="2014"/>
  </r>
  <r>
    <x v="2"/>
    <s v="Canada"/>
    <s v="Carretera"/>
    <s v="High"/>
    <n v="1937"/>
    <n v="3"/>
    <n v="12"/>
    <n v="23244"/>
    <n v="2556.84"/>
    <n v="20687.16"/>
    <n v="5811"/>
    <n v="14876.16"/>
    <n v="22135.261200000001"/>
    <n v="-1448.101200000001"/>
    <n v="-6.5420560747663586E-2"/>
    <d v="2014-02-01T00:00:00"/>
    <n v="2"/>
    <s v="February"/>
    <s v="2014"/>
  </r>
  <r>
    <x v="0"/>
    <s v="Germany"/>
    <s v="Carretera"/>
    <s v="High"/>
    <n v="792"/>
    <n v="3"/>
    <n v="350"/>
    <n v="277200"/>
    <n v="30492"/>
    <n v="246708"/>
    <n v="205920"/>
    <n v="40788"/>
    <n v="281247.12"/>
    <n v="-34539.119999999995"/>
    <n v="-0.12280701754385963"/>
    <d v="2014-03-01T00:00:00"/>
    <n v="3"/>
    <s v="March"/>
    <s v="2014"/>
  </r>
  <r>
    <x v="4"/>
    <s v="Germany"/>
    <s v="Carretera"/>
    <s v="High"/>
    <n v="2811"/>
    <n v="3"/>
    <n v="300"/>
    <n v="843300"/>
    <n v="92763"/>
    <n v="750537"/>
    <n v="702750"/>
    <n v="47787"/>
    <n v="637956.44999999995"/>
    <n v="112580.55000000005"/>
    <n v="0.17647058823529421"/>
    <d v="2014-07-01T00:00:00"/>
    <n v="7"/>
    <s v="July"/>
    <s v="2014"/>
  </r>
  <r>
    <x v="3"/>
    <s v="France"/>
    <s v="Carretera"/>
    <s v="High"/>
    <n v="2441"/>
    <n v="3"/>
    <n v="125"/>
    <n v="305125"/>
    <n v="33563.75"/>
    <n v="271561.25"/>
    <n v="292920"/>
    <n v="-21358.75"/>
    <n v="263414.41249999998"/>
    <n v="8146.8375000000233"/>
    <n v="3.0927835051546483E-2"/>
    <d v="2014-10-01T00:00:00"/>
    <n v="10"/>
    <s v="October"/>
    <s v="2014"/>
  </r>
  <r>
    <x v="1"/>
    <s v="Canada"/>
    <s v="Carretera"/>
    <s v="High"/>
    <n v="1560"/>
    <n v="3"/>
    <n v="15"/>
    <n v="23400"/>
    <n v="2574"/>
    <n v="20826"/>
    <n v="15600"/>
    <n v="5226"/>
    <n v="22075.56"/>
    <n v="-1249.5600000000013"/>
    <n v="-5.6603773584905717E-2"/>
    <d v="2013-11-01T00:00:00"/>
    <n v="11"/>
    <s v="November"/>
    <s v="2013"/>
  </r>
  <r>
    <x v="0"/>
    <s v="Mexico"/>
    <s v="Carretera"/>
    <s v="High"/>
    <n v="2706"/>
    <n v="3"/>
    <n v="7"/>
    <n v="18942"/>
    <n v="2083.62"/>
    <n v="16858.38"/>
    <n v="13530"/>
    <n v="3328.380000000001"/>
    <n v="15172.542000000001"/>
    <n v="1685.8379999999997"/>
    <n v="0.11111111111111109"/>
    <d v="2013-11-01T00:00:00"/>
    <n v="11"/>
    <s v="November"/>
    <s v="2013"/>
  </r>
  <r>
    <x v="0"/>
    <s v="Germany"/>
    <s v="Montana"/>
    <s v="High"/>
    <n v="766"/>
    <n v="5"/>
    <n v="350"/>
    <n v="268100"/>
    <n v="29491"/>
    <n v="238609"/>
    <n v="199160"/>
    <n v="39449"/>
    <n v="264855.99000000005"/>
    <n v="-26246.990000000049"/>
    <n v="-9.9099099099099267E-2"/>
    <d v="2014-01-01T00:00:00"/>
    <n v="1"/>
    <s v="January"/>
    <s v="2014"/>
  </r>
  <r>
    <x v="0"/>
    <s v="Germany"/>
    <s v="Montana"/>
    <s v="High"/>
    <n v="2992"/>
    <n v="5"/>
    <n v="20"/>
    <n v="59840"/>
    <n v="6582.4"/>
    <n v="53257.599999999999"/>
    <n v="29920"/>
    <n v="23337.599999999999"/>
    <n v="50062.143999999993"/>
    <n v="3195.4560000000056"/>
    <n v="6.3829787234042673E-2"/>
    <d v="2013-10-01T00:00:00"/>
    <n v="10"/>
    <s v="October"/>
    <s v="2013"/>
  </r>
  <r>
    <x v="1"/>
    <s v="Mexico"/>
    <s v="Montana"/>
    <s v="High"/>
    <n v="2157"/>
    <n v="5"/>
    <n v="15"/>
    <n v="32355"/>
    <n v="3559.05"/>
    <n v="28795.95"/>
    <n v="21570"/>
    <n v="7225.9500000000007"/>
    <n v="33115.342499999999"/>
    <n v="-4319.3924999999981"/>
    <n v="-0.13043478260869559"/>
    <d v="2014-12-01T00:00:00"/>
    <n v="12"/>
    <s v="December"/>
    <s v="2014"/>
  </r>
  <r>
    <x v="4"/>
    <s v="Canada"/>
    <s v="Paseo"/>
    <s v="High"/>
    <n v="873"/>
    <n v="10"/>
    <n v="300"/>
    <n v="261900"/>
    <n v="28809"/>
    <n v="233091"/>
    <n v="218250"/>
    <n v="14841"/>
    <n v="221436.44999999998"/>
    <n v="11654.550000000017"/>
    <n v="5.2631578947368501E-2"/>
    <d v="2014-01-01T00:00:00"/>
    <n v="1"/>
    <s v="January"/>
    <s v="2014"/>
  </r>
  <r>
    <x v="0"/>
    <s v="Mexico"/>
    <s v="Paseo"/>
    <s v="High"/>
    <n v="1122"/>
    <n v="10"/>
    <n v="20"/>
    <n v="22440"/>
    <n v="2468.4"/>
    <n v="19971.599999999999"/>
    <n v="11220"/>
    <n v="8751.5999999999985"/>
    <n v="17175.575999999997"/>
    <n v="2796.0240000000013"/>
    <n v="0.1627906976744187"/>
    <d v="2014-03-01T00:00:00"/>
    <n v="3"/>
    <s v="March"/>
    <s v="2014"/>
  </r>
  <r>
    <x v="0"/>
    <s v="Canada"/>
    <s v="Paseo"/>
    <s v="High"/>
    <n v="2104.5"/>
    <n v="10"/>
    <n v="350"/>
    <n v="736575"/>
    <n v="81023.25"/>
    <n v="655551.75"/>
    <n v="547170"/>
    <n v="108381.75"/>
    <n v="583441.0575"/>
    <n v="72110.692500000005"/>
    <n v="0.12359550561797754"/>
    <d v="2014-07-01T00:00:00"/>
    <n v="7"/>
    <s v="July"/>
    <s v="2014"/>
  </r>
  <r>
    <x v="2"/>
    <s v="Canada"/>
    <s v="Paseo"/>
    <s v="High"/>
    <n v="4026"/>
    <n v="10"/>
    <n v="12"/>
    <n v="48312"/>
    <n v="5314.32"/>
    <n v="42997.68"/>
    <n v="12078"/>
    <n v="30919.68"/>
    <n v="43857.633600000001"/>
    <n v="-859.95360000000073"/>
    <n v="-1.9607843137254919E-2"/>
    <d v="2014-07-01T00:00:00"/>
    <n v="7"/>
    <s v="July"/>
    <s v="2014"/>
  </r>
  <r>
    <x v="2"/>
    <s v="France"/>
    <s v="Paseo"/>
    <s v="High"/>
    <n v="2425.5"/>
    <n v="10"/>
    <n v="12"/>
    <n v="29106"/>
    <n v="3201.66"/>
    <n v="25904.340000000004"/>
    <n v="7276.5"/>
    <n v="18627.840000000004"/>
    <n v="26940.513600000006"/>
    <n v="-1036.1736000000019"/>
    <n v="-3.8461538461538526E-2"/>
    <d v="2014-07-01T00:00:00"/>
    <n v="7"/>
    <s v="July"/>
    <s v="2014"/>
  </r>
  <r>
    <x v="0"/>
    <s v="Canada"/>
    <s v="Paseo"/>
    <s v="High"/>
    <n v="2394"/>
    <n v="10"/>
    <n v="20"/>
    <n v="47880"/>
    <n v="5266.8"/>
    <n v="42613.2"/>
    <n v="23940"/>
    <n v="18673.199999999997"/>
    <n v="40908.671999999999"/>
    <n v="1704.5279999999984"/>
    <n v="4.166666666666663E-2"/>
    <d v="2014-08-01T00:00:00"/>
    <n v="8"/>
    <s v="August"/>
    <s v="2014"/>
  </r>
  <r>
    <x v="1"/>
    <s v="Mexico"/>
    <s v="Paseo"/>
    <s v="High"/>
    <n v="1984"/>
    <n v="10"/>
    <n v="15"/>
    <n v="29760"/>
    <n v="3273.6"/>
    <n v="26486.400000000001"/>
    <n v="19840"/>
    <n v="6646.4000000000015"/>
    <n v="28870.176000000003"/>
    <n v="-2383.7760000000017"/>
    <n v="-8.2568807339449588E-2"/>
    <d v="2014-08-01T00:00:00"/>
    <n v="8"/>
    <s v="August"/>
    <s v="2014"/>
  </r>
  <r>
    <x v="3"/>
    <s v="France"/>
    <s v="Paseo"/>
    <s v="High"/>
    <n v="2441"/>
    <n v="10"/>
    <n v="125"/>
    <n v="305125"/>
    <n v="33563.75"/>
    <n v="271561.25"/>
    <n v="292920"/>
    <n v="-21358.75"/>
    <n v="285139.3125"/>
    <n v="-13578.0625"/>
    <n v="-4.7619047619047616E-2"/>
    <d v="2014-10-01T00:00:00"/>
    <n v="10"/>
    <s v="October"/>
    <s v="2014"/>
  </r>
  <r>
    <x v="0"/>
    <s v="Germany"/>
    <s v="Paseo"/>
    <s v="High"/>
    <n v="2992"/>
    <n v="10"/>
    <n v="20"/>
    <n v="59840"/>
    <n v="6582.4"/>
    <n v="53257.599999999999"/>
    <n v="29920"/>
    <n v="23337.599999999999"/>
    <n v="51127.295999999995"/>
    <n v="2130.3040000000037"/>
    <n v="4.1666666666666741E-2"/>
    <d v="2013-10-01T00:00:00"/>
    <n v="10"/>
    <s v="October"/>
    <s v="2013"/>
  </r>
  <r>
    <x v="4"/>
    <s v="Canada"/>
    <s v="Paseo"/>
    <s v="High"/>
    <n v="1366"/>
    <n v="10"/>
    <n v="300"/>
    <n v="409800"/>
    <n v="45078"/>
    <n v="364722"/>
    <n v="341500"/>
    <n v="23222"/>
    <n v="331897.02"/>
    <n v="32824.979999999981"/>
    <n v="9.8901098901098841E-2"/>
    <d v="2014-11-01T00:00:00"/>
    <n v="11"/>
    <s v="November"/>
    <s v="2014"/>
  </r>
  <r>
    <x v="0"/>
    <s v="France"/>
    <s v="Velo"/>
    <s v="High"/>
    <n v="2805"/>
    <n v="120"/>
    <n v="20"/>
    <n v="56100"/>
    <n v="6171"/>
    <n v="49929"/>
    <n v="28050"/>
    <n v="21879"/>
    <n v="42938.94"/>
    <n v="6990.0599999999977"/>
    <n v="0.16279069767441853"/>
    <d v="2013-09-01T00:00:00"/>
    <n v="9"/>
    <s v="September"/>
    <s v="2013"/>
  </r>
  <r>
    <x v="1"/>
    <s v="Mexico"/>
    <s v="Velo"/>
    <s v="High"/>
    <n v="655"/>
    <n v="120"/>
    <n v="15"/>
    <n v="9825"/>
    <n v="1080.75"/>
    <n v="8744.25"/>
    <n v="6550"/>
    <n v="2194.25"/>
    <n v="8656.8075000000008"/>
    <n v="87.4424999999992"/>
    <n v="1.0101010101010008E-2"/>
    <d v="2013-09-01T00:00:00"/>
    <n v="9"/>
    <s v="September"/>
    <s v="2013"/>
  </r>
  <r>
    <x v="0"/>
    <s v="Mexico"/>
    <s v="Velo"/>
    <s v="High"/>
    <n v="344"/>
    <n v="120"/>
    <n v="350"/>
    <n v="120400"/>
    <n v="13244"/>
    <n v="107156"/>
    <n v="89440"/>
    <n v="17716"/>
    <n v="107156"/>
    <n v="0"/>
    <n v="0"/>
    <d v="2013-10-01T00:00:00"/>
    <n v="10"/>
    <s v="October"/>
    <s v="2013"/>
  </r>
  <r>
    <x v="0"/>
    <s v="Canada"/>
    <s v="Velo"/>
    <s v="High"/>
    <n v="1808"/>
    <n v="120"/>
    <n v="7"/>
    <n v="12656"/>
    <n v="1392.16"/>
    <n v="11263.84"/>
    <n v="9040"/>
    <n v="2223.84"/>
    <n v="12164.947200000001"/>
    <n v="-901.10720000000038"/>
    <n v="-7.4074074074074098E-2"/>
    <d v="2014-11-01T00:00:00"/>
    <n v="11"/>
    <s v="November"/>
    <s v="2014"/>
  </r>
  <r>
    <x v="2"/>
    <s v="France"/>
    <s v="VTT"/>
    <s v="High"/>
    <n v="1734"/>
    <n v="250"/>
    <n v="12"/>
    <n v="20808"/>
    <n v="2288.88"/>
    <n v="18519.12"/>
    <n v="5202"/>
    <n v="13317.119999999999"/>
    <n v="20000.649600000001"/>
    <n v="-1481.5296000000017"/>
    <n v="-7.4074074074074153E-2"/>
    <d v="2014-01-01T00:00:00"/>
    <n v="1"/>
    <s v="January"/>
    <s v="2014"/>
  </r>
  <r>
    <x v="3"/>
    <s v="Mexico"/>
    <s v="VTT"/>
    <s v="High"/>
    <n v="554"/>
    <n v="250"/>
    <n v="125"/>
    <n v="69250"/>
    <n v="7617.5"/>
    <n v="61632.5"/>
    <n v="66480"/>
    <n v="-4847.5"/>
    <n v="56701.9"/>
    <n v="4930.5999999999985"/>
    <n v="8.6956521739130405E-2"/>
    <d v="2014-01-01T00:00:00"/>
    <n v="1"/>
    <s v="January"/>
    <s v="2014"/>
  </r>
  <r>
    <x v="0"/>
    <s v="Canada"/>
    <s v="VTT"/>
    <s v="High"/>
    <n v="2935"/>
    <n v="250"/>
    <n v="20"/>
    <n v="58700"/>
    <n v="6457"/>
    <n v="52243"/>
    <n v="29350"/>
    <n v="22893"/>
    <n v="54332.72"/>
    <n v="-2089.7200000000012"/>
    <n v="-3.8461538461538484E-2"/>
    <d v="2013-11-01T00:00:00"/>
    <n v="11"/>
    <s v="November"/>
    <s v="2013"/>
  </r>
  <r>
    <x v="3"/>
    <s v="Germany"/>
    <s v="Amarilla"/>
    <s v="High"/>
    <n v="3165"/>
    <n v="260"/>
    <n v="125"/>
    <n v="395625"/>
    <n v="43518.75"/>
    <n v="352106.25"/>
    <n v="379800"/>
    <n v="-27693.75"/>
    <n v="387316.87500000006"/>
    <n v="-35210.625000000058"/>
    <n v="-9.090909090909105E-2"/>
    <d v="2014-01-01T00:00:00"/>
    <n v="1"/>
    <s v="January"/>
    <s v="2014"/>
  </r>
  <r>
    <x v="0"/>
    <s v="Mexico"/>
    <s v="Amarilla"/>
    <s v="High"/>
    <n v="2629"/>
    <n v="260"/>
    <n v="20"/>
    <n v="52580"/>
    <n v="5783.8"/>
    <n v="46796.2"/>
    <n v="26290"/>
    <n v="20506.199999999997"/>
    <n v="51943.781999999999"/>
    <n v="-5147.5820000000022"/>
    <n v="-9.9099099099099142E-2"/>
    <d v="2014-01-01T00:00:00"/>
    <n v="1"/>
    <s v="January"/>
    <s v="2014"/>
  </r>
  <r>
    <x v="3"/>
    <s v="France"/>
    <s v="Amarilla"/>
    <s v="High"/>
    <n v="1433"/>
    <n v="260"/>
    <n v="125"/>
    <n v="179125"/>
    <n v="19703.75"/>
    <n v="159421.25"/>
    <n v="171960"/>
    <n v="-12538.75"/>
    <n v="151450.1875"/>
    <n v="7971.0625"/>
    <n v="5.2631578947368418E-2"/>
    <d v="2014-05-01T00:00:00"/>
    <n v="5"/>
    <s v="May"/>
    <s v="2014"/>
  </r>
  <r>
    <x v="3"/>
    <s v="Mexico"/>
    <s v="Amarilla"/>
    <s v="High"/>
    <n v="947"/>
    <n v="260"/>
    <n v="125"/>
    <n v="118375"/>
    <n v="13021.25"/>
    <n v="105353.75"/>
    <n v="113640"/>
    <n v="-8286.25"/>
    <n v="103246.675"/>
    <n v="2107.0749999999971"/>
    <n v="2.0408163265306093E-2"/>
    <d v="2013-09-01T00:00:00"/>
    <n v="9"/>
    <s v="September"/>
    <s v="2013"/>
  </r>
  <r>
    <x v="0"/>
    <s v="Mexico"/>
    <s v="Amarilla"/>
    <s v="High"/>
    <n v="344"/>
    <n v="260"/>
    <n v="350"/>
    <n v="120400"/>
    <n v="13244"/>
    <n v="107156"/>
    <n v="89440"/>
    <n v="17716"/>
    <n v="99655.08"/>
    <n v="7500.9199999999983"/>
    <n v="7.526881720430105E-2"/>
    <d v="2013-10-01T00:00:00"/>
    <n v="10"/>
    <s v="October"/>
    <s v="2013"/>
  </r>
  <r>
    <x v="1"/>
    <s v="Mexico"/>
    <s v="Amarilla"/>
    <s v="High"/>
    <n v="2157"/>
    <n v="260"/>
    <n v="15"/>
    <n v="32355"/>
    <n v="3559.05"/>
    <n v="28795.95"/>
    <n v="21570"/>
    <n v="7225.9500000000007"/>
    <n v="32539.423499999997"/>
    <n v="-3743.4734999999964"/>
    <n v="-0.11504424778761052"/>
    <d v="2014-12-01T00:00:00"/>
    <n v="12"/>
    <s v="December"/>
    <s v="2014"/>
  </r>
  <r>
    <x v="0"/>
    <s v="United States of America"/>
    <s v="Paseo"/>
    <s v="High"/>
    <n v="380"/>
    <n v="10"/>
    <n v="7"/>
    <n v="2660"/>
    <n v="292.60000000000002"/>
    <n v="2367.4"/>
    <n v="1900"/>
    <n v="467.40000000000009"/>
    <n v="2651.4880000000003"/>
    <n v="-284.08800000000019"/>
    <n v="-0.10714285714285721"/>
    <d v="2013-09-01T00:00:00"/>
    <n v="9"/>
    <s v="September"/>
    <s v="2013"/>
  </r>
  <r>
    <x v="0"/>
    <s v="Mexico"/>
    <s v="Carretera"/>
    <s v="High"/>
    <n v="886"/>
    <n v="3"/>
    <n v="350"/>
    <n v="310100"/>
    <n v="37212"/>
    <n v="272888"/>
    <n v="230360"/>
    <n v="42528"/>
    <n v="272888"/>
    <n v="0"/>
    <n v="0"/>
    <d v="2014-06-01T00:00:00"/>
    <n v="6"/>
    <s v="June"/>
    <s v="2014"/>
  </r>
  <r>
    <x v="3"/>
    <s v="Canada"/>
    <s v="Carretera"/>
    <s v="High"/>
    <n v="2416"/>
    <n v="3"/>
    <n v="125"/>
    <n v="302000"/>
    <n v="36240"/>
    <n v="265760"/>
    <n v="289920"/>
    <n v="-24160"/>
    <n v="239184"/>
    <n v="26576"/>
    <n v="0.1111111111111111"/>
    <d v="2013-09-01T00:00:00"/>
    <n v="9"/>
    <s v="September"/>
    <s v="2013"/>
  </r>
  <r>
    <x v="3"/>
    <s v="Mexico"/>
    <s v="Carretera"/>
    <s v="High"/>
    <n v="2156"/>
    <n v="3"/>
    <n v="125"/>
    <n v="269500"/>
    <n v="32340"/>
    <n v="237160"/>
    <n v="258720"/>
    <n v="-21560"/>
    <n v="234788.4"/>
    <n v="2371.6000000000058"/>
    <n v="1.0101010101010126E-2"/>
    <d v="2014-10-01T00:00:00"/>
    <n v="10"/>
    <s v="October"/>
    <s v="2014"/>
  </r>
  <r>
    <x v="1"/>
    <s v="Canada"/>
    <s v="Carretera"/>
    <s v="High"/>
    <n v="2689"/>
    <n v="3"/>
    <n v="15"/>
    <n v="40335"/>
    <n v="4840.2"/>
    <n v="35494.800000000003"/>
    <n v="26890"/>
    <n v="8604.8000000000029"/>
    <n v="32655.216000000004"/>
    <n v="2839.5839999999989"/>
    <n v="8.6956521739130391E-2"/>
    <d v="2014-11-01T00:00:00"/>
    <n v="11"/>
    <s v="November"/>
    <s v="2014"/>
  </r>
  <r>
    <x v="1"/>
    <s v="United States of America"/>
    <s v="Montana"/>
    <s v="High"/>
    <n v="677"/>
    <n v="5"/>
    <n v="15"/>
    <n v="10155"/>
    <n v="1218.5999999999999"/>
    <n v="8936.4"/>
    <n v="6770"/>
    <n v="2166.3999999999996"/>
    <n v="10098.131999999998"/>
    <n v="-1161.7319999999982"/>
    <n v="-0.11504424778761047"/>
    <d v="2014-03-01T00:00:00"/>
    <n v="3"/>
    <s v="March"/>
    <s v="2014"/>
  </r>
  <r>
    <x v="4"/>
    <s v="France"/>
    <s v="Montana"/>
    <s v="High"/>
    <n v="1773"/>
    <n v="5"/>
    <n v="300"/>
    <n v="531900"/>
    <n v="63828"/>
    <n v="468072"/>
    <n v="443250"/>
    <n v="24822"/>
    <n v="505517.76"/>
    <n v="-37445.760000000009"/>
    <n v="-7.4074074074074098E-2"/>
    <d v="2014-04-01T00:00:00"/>
    <n v="4"/>
    <s v="April"/>
    <s v="2014"/>
  </r>
  <r>
    <x v="0"/>
    <s v="Mexico"/>
    <s v="Montana"/>
    <s v="High"/>
    <n v="2420"/>
    <n v="5"/>
    <n v="7"/>
    <n v="16940"/>
    <n v="2032.8"/>
    <n v="14907.2"/>
    <n v="12100"/>
    <n v="2807.2000000000007"/>
    <n v="12671.12"/>
    <n v="2236.08"/>
    <n v="0.1764705882352941"/>
    <d v="2014-09-01T00:00:00"/>
    <n v="9"/>
    <s v="September"/>
    <s v="2014"/>
  </r>
  <r>
    <x v="0"/>
    <s v="Canada"/>
    <s v="Montana"/>
    <s v="High"/>
    <n v="2734"/>
    <n v="5"/>
    <n v="7"/>
    <n v="19138"/>
    <n v="2296.56"/>
    <n v="16841.439999999999"/>
    <n v="13670"/>
    <n v="3171.4399999999987"/>
    <n v="15662.539199999999"/>
    <n v="1178.9007999999994"/>
    <n v="7.5268817204301036E-2"/>
    <d v="2014-10-01T00:00:00"/>
    <n v="10"/>
    <s v="October"/>
    <s v="2014"/>
  </r>
  <r>
    <x v="0"/>
    <s v="Mexico"/>
    <s v="Montana"/>
    <s v="High"/>
    <n v="1715"/>
    <n v="5"/>
    <n v="20"/>
    <n v="34300"/>
    <n v="4116"/>
    <n v="30184"/>
    <n v="17150"/>
    <n v="13034"/>
    <n v="28372.959999999999"/>
    <n v="1811.0400000000009"/>
    <n v="6.382978723404259E-2"/>
    <d v="2013-10-01T00:00:00"/>
    <n v="10"/>
    <s v="October"/>
    <s v="2013"/>
  </r>
  <r>
    <x v="4"/>
    <s v="France"/>
    <s v="Montana"/>
    <s v="High"/>
    <n v="1186"/>
    <n v="5"/>
    <n v="300"/>
    <n v="355800"/>
    <n v="42696"/>
    <n v="313104"/>
    <n v="296500"/>
    <n v="16604"/>
    <n v="281793.60000000003"/>
    <n v="31310.399999999965"/>
    <n v="0.11111111111111098"/>
    <d v="2013-12-01T00:00:00"/>
    <n v="12"/>
    <s v="December"/>
    <s v="2013"/>
  </r>
  <r>
    <x v="4"/>
    <s v="United States of America"/>
    <s v="Paseo"/>
    <s v="High"/>
    <n v="3495"/>
    <n v="10"/>
    <n v="300"/>
    <n v="1048500"/>
    <n v="125820"/>
    <n v="922680"/>
    <n v="873750"/>
    <n v="48930"/>
    <n v="1042628.3999999999"/>
    <n v="-119948.39999999991"/>
    <n v="-0.11504424778761053"/>
    <d v="2014-01-01T00:00:00"/>
    <n v="1"/>
    <s v="January"/>
    <s v="2014"/>
  </r>
  <r>
    <x v="0"/>
    <s v="Mexico"/>
    <s v="Paseo"/>
    <s v="High"/>
    <n v="886"/>
    <n v="10"/>
    <n v="350"/>
    <n v="310100"/>
    <n v="37212"/>
    <n v="272888"/>
    <n v="230360"/>
    <n v="42528"/>
    <n v="251056.96000000002"/>
    <n v="21831.039999999979"/>
    <n v="8.6956521739130349E-2"/>
    <d v="2014-06-01T00:00:00"/>
    <n v="6"/>
    <s v="June"/>
    <s v="2014"/>
  </r>
  <r>
    <x v="3"/>
    <s v="Mexico"/>
    <s v="Paseo"/>
    <s v="High"/>
    <n v="2156"/>
    <n v="10"/>
    <n v="125"/>
    <n v="269500"/>
    <n v="32340"/>
    <n v="237160"/>
    <n v="258720"/>
    <n v="-21560"/>
    <n v="225302"/>
    <n v="11858"/>
    <n v="5.2631578947368418E-2"/>
    <d v="2014-10-01T00:00:00"/>
    <n v="10"/>
    <s v="October"/>
    <s v="2014"/>
  </r>
  <r>
    <x v="0"/>
    <s v="Mexico"/>
    <s v="Paseo"/>
    <s v="High"/>
    <n v="905"/>
    <n v="10"/>
    <n v="20"/>
    <n v="18100"/>
    <n v="2172"/>
    <n v="15928"/>
    <n v="9050"/>
    <n v="6878"/>
    <n v="16246.56"/>
    <n v="-318.55999999999949"/>
    <n v="-1.960784313725487E-2"/>
    <d v="2014-10-01T00:00:00"/>
    <n v="10"/>
    <s v="October"/>
    <s v="2014"/>
  </r>
  <r>
    <x v="0"/>
    <s v="Mexico"/>
    <s v="Paseo"/>
    <s v="High"/>
    <n v="1715"/>
    <n v="10"/>
    <n v="20"/>
    <n v="34300"/>
    <n v="4116"/>
    <n v="30184"/>
    <n v="17150"/>
    <n v="13034"/>
    <n v="28071.120000000003"/>
    <n v="2112.8799999999974"/>
    <n v="7.5268817204300981E-2"/>
    <d v="2013-10-01T00:00:00"/>
    <n v="10"/>
    <s v="October"/>
    <s v="2013"/>
  </r>
  <r>
    <x v="0"/>
    <s v="France"/>
    <s v="Paseo"/>
    <s v="High"/>
    <n v="1594"/>
    <n v="10"/>
    <n v="350"/>
    <n v="557900"/>
    <n v="66948"/>
    <n v="490952"/>
    <n v="414440"/>
    <n v="76512"/>
    <n v="476223.44"/>
    <n v="14728.559999999998"/>
    <n v="3.0927835051546386E-2"/>
    <d v="2014-11-01T00:00:00"/>
    <n v="11"/>
    <s v="November"/>
    <s v="2014"/>
  </r>
  <r>
    <x v="4"/>
    <s v="Germany"/>
    <s v="Paseo"/>
    <s v="High"/>
    <n v="1359"/>
    <n v="10"/>
    <n v="300"/>
    <n v="407700"/>
    <n v="48924"/>
    <n v="358776"/>
    <n v="339750"/>
    <n v="19026"/>
    <n v="312135.12"/>
    <n v="46640.880000000005"/>
    <n v="0.14942528735632185"/>
    <d v="2014-11-01T00:00:00"/>
    <n v="11"/>
    <s v="November"/>
    <s v="2014"/>
  </r>
  <r>
    <x v="4"/>
    <s v="Mexico"/>
    <s v="Paseo"/>
    <s v="High"/>
    <n v="2150"/>
    <n v="10"/>
    <n v="300"/>
    <n v="645000"/>
    <n v="77400"/>
    <n v="567600"/>
    <n v="537500"/>
    <n v="30100"/>
    <n v="630036"/>
    <n v="-62436"/>
    <n v="-9.90990990990991E-2"/>
    <d v="2014-11-01T00:00:00"/>
    <n v="11"/>
    <s v="November"/>
    <s v="2014"/>
  </r>
  <r>
    <x v="0"/>
    <s v="Mexico"/>
    <s v="Paseo"/>
    <s v="High"/>
    <n v="1197"/>
    <n v="10"/>
    <n v="350"/>
    <n v="418950"/>
    <n v="50274"/>
    <n v="368676"/>
    <n v="311220"/>
    <n v="57456"/>
    <n v="364989.24"/>
    <n v="3686.7600000000093"/>
    <n v="1.0101010101010126E-2"/>
    <d v="2014-11-01T00:00:00"/>
    <n v="11"/>
    <s v="November"/>
    <s v="2014"/>
  </r>
  <r>
    <x v="1"/>
    <s v="Mexico"/>
    <s v="Paseo"/>
    <s v="High"/>
    <n v="380"/>
    <n v="10"/>
    <n v="15"/>
    <n v="5700"/>
    <n v="684"/>
    <n v="5016"/>
    <n v="3800"/>
    <n v="1216"/>
    <n v="5467.4400000000005"/>
    <n v="-451.44000000000051"/>
    <n v="-8.2568807339449629E-2"/>
    <d v="2013-12-01T00:00:00"/>
    <n v="12"/>
    <s v="December"/>
    <s v="2013"/>
  </r>
  <r>
    <x v="0"/>
    <s v="Mexico"/>
    <s v="Paseo"/>
    <s v="High"/>
    <n v="1233"/>
    <n v="10"/>
    <n v="20"/>
    <n v="24660"/>
    <n v="2959.2"/>
    <n v="21700.799999999999"/>
    <n v="12330"/>
    <n v="9370.7999999999993"/>
    <n v="23436.864000000001"/>
    <n v="-1736.0640000000021"/>
    <n v="-7.4074074074074167E-2"/>
    <d v="2014-12-01T00:00:00"/>
    <n v="12"/>
    <s v="December"/>
    <s v="2014"/>
  </r>
  <r>
    <x v="0"/>
    <s v="Mexico"/>
    <s v="Velo"/>
    <s v="High"/>
    <n v="1395"/>
    <n v="120"/>
    <n v="350"/>
    <n v="488250"/>
    <n v="58590"/>
    <n v="429660"/>
    <n v="362700"/>
    <n v="66960"/>
    <n v="365211"/>
    <n v="64449"/>
    <n v="0.17647058823529413"/>
    <d v="2014-07-01T00:00:00"/>
    <n v="7"/>
    <s v="July"/>
    <s v="2014"/>
  </r>
  <r>
    <x v="0"/>
    <s v="United States of America"/>
    <s v="Velo"/>
    <s v="High"/>
    <n v="986"/>
    <n v="120"/>
    <n v="350"/>
    <n v="345100"/>
    <n v="41412"/>
    <n v="303688"/>
    <n v="256360"/>
    <n v="47328"/>
    <n v="258134.8"/>
    <n v="45553.200000000012"/>
    <n v="0.17647058823529416"/>
    <d v="2014-10-01T00:00:00"/>
    <n v="10"/>
    <s v="October"/>
    <s v="2014"/>
  </r>
  <r>
    <x v="0"/>
    <s v="Mexico"/>
    <s v="Velo"/>
    <s v="High"/>
    <n v="905"/>
    <n v="120"/>
    <n v="20"/>
    <n v="18100"/>
    <n v="2172"/>
    <n v="15928"/>
    <n v="9050"/>
    <n v="6878"/>
    <n v="15290.88"/>
    <n v="637.1200000000008"/>
    <n v="4.166666666666672E-2"/>
    <d v="2014-10-01T00:00:00"/>
    <n v="10"/>
    <s v="October"/>
    <s v="2014"/>
  </r>
  <r>
    <x v="2"/>
    <s v="Canada"/>
    <s v="VTT"/>
    <s v="High"/>
    <n v="2109"/>
    <n v="250"/>
    <n v="12"/>
    <n v="25308"/>
    <n v="3036.96"/>
    <n v="22271.040000000001"/>
    <n v="6327"/>
    <n v="15944.04"/>
    <n v="24720.854400000004"/>
    <n v="-2449.8144000000029"/>
    <n v="-9.9099099099099197E-2"/>
    <d v="2014-05-01T00:00:00"/>
    <n v="5"/>
    <s v="May"/>
    <s v="2014"/>
  </r>
  <r>
    <x v="1"/>
    <s v="France"/>
    <s v="VTT"/>
    <s v="High"/>
    <n v="3874.5"/>
    <n v="250"/>
    <n v="15"/>
    <n v="58117.5"/>
    <n v="6974.0999999999995"/>
    <n v="51143.399999999994"/>
    <n v="38745"/>
    <n v="12398.399999999998"/>
    <n v="55234.871999999996"/>
    <n v="-4091.4720000000016"/>
    <n v="-7.4074074074074112E-2"/>
    <d v="2014-07-01T00:00:00"/>
    <n v="7"/>
    <s v="July"/>
    <s v="2014"/>
  </r>
  <r>
    <x v="0"/>
    <s v="Canada"/>
    <s v="VTT"/>
    <s v="High"/>
    <n v="623"/>
    <n v="250"/>
    <n v="350"/>
    <n v="218050"/>
    <n v="26166"/>
    <n v="191884"/>
    <n v="161980"/>
    <n v="29904"/>
    <n v="193802.84"/>
    <n v="-1918.8399999999965"/>
    <n v="-9.9009900990098838E-3"/>
    <d v="2013-09-01T00:00:00"/>
    <n v="9"/>
    <s v="September"/>
    <s v="2013"/>
  </r>
  <r>
    <x v="0"/>
    <s v="United States of America"/>
    <s v="VTT"/>
    <s v="High"/>
    <n v="986"/>
    <n v="250"/>
    <n v="350"/>
    <n v="345100"/>
    <n v="41412"/>
    <n v="303688"/>
    <n v="256360"/>
    <n v="47328"/>
    <n v="309761.76"/>
    <n v="-6073.7600000000093"/>
    <n v="-1.9607843137254933E-2"/>
    <d v="2014-10-01T00:00:00"/>
    <n v="10"/>
    <s v="October"/>
    <s v="2014"/>
  </r>
  <r>
    <x v="3"/>
    <s v="United States of America"/>
    <s v="VTT"/>
    <s v="High"/>
    <n v="2387"/>
    <n v="250"/>
    <n v="125"/>
    <n v="298375"/>
    <n v="35805"/>
    <n v="262570"/>
    <n v="286440"/>
    <n v="-23870"/>
    <n v="238938.7"/>
    <n v="23631.299999999988"/>
    <n v="9.8901098901098841E-2"/>
    <d v="2014-11-01T00:00:00"/>
    <n v="11"/>
    <s v="November"/>
    <s v="2014"/>
  </r>
  <r>
    <x v="0"/>
    <s v="Mexico"/>
    <s v="VTT"/>
    <s v="High"/>
    <n v="1233"/>
    <n v="250"/>
    <n v="20"/>
    <n v="24660"/>
    <n v="2959.2"/>
    <n v="21700.799999999999"/>
    <n v="12330"/>
    <n v="9370.7999999999993"/>
    <n v="23870.880000000001"/>
    <n v="-2170.0800000000017"/>
    <n v="-9.0909090909090981E-2"/>
    <d v="2014-12-01T00:00:00"/>
    <n v="12"/>
    <s v="December"/>
    <s v="2014"/>
  </r>
  <r>
    <x v="0"/>
    <s v="United States of America"/>
    <s v="Amarilla"/>
    <s v="High"/>
    <n v="270"/>
    <n v="260"/>
    <n v="350"/>
    <n v="94500"/>
    <n v="11340"/>
    <n v="83160"/>
    <n v="70200"/>
    <n v="12960"/>
    <n v="76507.199999999997"/>
    <n v="6652.8000000000029"/>
    <n v="8.6956521739130474E-2"/>
    <d v="2014-02-01T00:00:00"/>
    <n v="2"/>
    <s v="February"/>
    <s v="2014"/>
  </r>
  <r>
    <x v="0"/>
    <s v="France"/>
    <s v="Amarilla"/>
    <s v="High"/>
    <n v="3421.5"/>
    <n v="260"/>
    <n v="7"/>
    <n v="23950.5"/>
    <n v="2874.06"/>
    <n v="21076.44"/>
    <n v="17107.5"/>
    <n v="3968.9399999999987"/>
    <n v="24027.141599999995"/>
    <n v="-2950.7015999999967"/>
    <n v="-0.12280701754385953"/>
    <d v="2014-07-01T00:00:00"/>
    <n v="7"/>
    <s v="July"/>
    <s v="2014"/>
  </r>
  <r>
    <x v="0"/>
    <s v="Canada"/>
    <s v="Amarilla"/>
    <s v="High"/>
    <n v="2734"/>
    <n v="260"/>
    <n v="7"/>
    <n v="19138"/>
    <n v="2296.56"/>
    <n v="16841.439999999999"/>
    <n v="13670"/>
    <n v="3171.4399999999987"/>
    <n v="17851.9264"/>
    <n v="-1010.4864000000016"/>
    <n v="-5.6603773584905752E-2"/>
    <d v="2014-10-01T00:00:00"/>
    <n v="10"/>
    <s v="October"/>
    <s v="2014"/>
  </r>
  <r>
    <x v="1"/>
    <s v="United States of America"/>
    <s v="Amarilla"/>
    <s v="High"/>
    <n v="2548"/>
    <n v="260"/>
    <n v="15"/>
    <n v="38220"/>
    <n v="4586.3999999999996"/>
    <n v="33633.599999999999"/>
    <n v="25480"/>
    <n v="8153.5999999999985"/>
    <n v="35987.951999999997"/>
    <n v="-2354.351999999999"/>
    <n v="-6.5420560747663531E-2"/>
    <d v="2013-11-01T00:00:00"/>
    <n v="11"/>
    <s v="November"/>
    <s v="2013"/>
  </r>
  <r>
    <x v="0"/>
    <s v="France"/>
    <s v="Carretera"/>
    <s v="High"/>
    <n v="2521.5"/>
    <n v="3"/>
    <n v="20"/>
    <n v="50430"/>
    <n v="6051.6"/>
    <n v="44378.399999999994"/>
    <n v="25215"/>
    <n v="19163.399999999998"/>
    <n v="38165.423999999992"/>
    <n v="6212.9760000000024"/>
    <n v="0.1627906976744187"/>
    <d v="2014-01-01T00:00:00"/>
    <n v="1"/>
    <s v="January"/>
    <s v="2014"/>
  </r>
  <r>
    <x v="2"/>
    <s v="Mexico"/>
    <s v="Montana"/>
    <s v="High"/>
    <n v="2661"/>
    <n v="5"/>
    <n v="12"/>
    <n v="31932"/>
    <n v="3831.84"/>
    <n v="28100.16"/>
    <n v="7983"/>
    <n v="20117.16"/>
    <n v="24447.139200000001"/>
    <n v="3653.0207999999984"/>
    <n v="0.14942528735632177"/>
    <d v="2014-05-01T00:00:00"/>
    <n v="5"/>
    <s v="May"/>
    <s v="2014"/>
  </r>
  <r>
    <x v="0"/>
    <s v="Germany"/>
    <s v="Paseo"/>
    <s v="High"/>
    <n v="1531"/>
    <n v="10"/>
    <n v="20"/>
    <n v="30620"/>
    <n v="3674.4"/>
    <n v="26945.599999999999"/>
    <n v="15310"/>
    <n v="11635.599999999999"/>
    <n v="26137.231999999996"/>
    <n v="808.36800000000221"/>
    <n v="3.092783505154648E-2"/>
    <d v="2014-12-01T00:00:00"/>
    <n v="12"/>
    <s v="December"/>
    <s v="2014"/>
  </r>
  <r>
    <x v="0"/>
    <s v="France"/>
    <s v="VTT"/>
    <s v="High"/>
    <n v="1491"/>
    <n v="250"/>
    <n v="7"/>
    <n v="10437"/>
    <n v="1252.44"/>
    <n v="9184.56"/>
    <n v="7455"/>
    <n v="1729.5599999999995"/>
    <n v="9460.0967999999993"/>
    <n v="-275.53679999999986"/>
    <n v="-2.9126213592232997E-2"/>
    <d v="2014-03-01T00:00:00"/>
    <n v="3"/>
    <s v="March"/>
    <s v="2014"/>
  </r>
  <r>
    <x v="0"/>
    <s v="Germany"/>
    <s v="VTT"/>
    <s v="High"/>
    <n v="1531"/>
    <n v="250"/>
    <n v="20"/>
    <n v="30620"/>
    <n v="3674.4"/>
    <n v="26945.599999999999"/>
    <n v="15310"/>
    <n v="11635.599999999999"/>
    <n v="30448.527999999995"/>
    <n v="-3502.9279999999962"/>
    <n v="-0.11504424778761052"/>
    <d v="2014-12-01T00:00:00"/>
    <n v="12"/>
    <s v="December"/>
    <s v="2014"/>
  </r>
  <r>
    <x v="2"/>
    <s v="Canada"/>
    <s v="Amarilla"/>
    <s v="High"/>
    <n v="2761"/>
    <n v="260"/>
    <n v="12"/>
    <n v="33132"/>
    <n v="3975.84"/>
    <n v="29156.16"/>
    <n v="8283"/>
    <n v="20873.16"/>
    <n v="33238.022399999994"/>
    <n v="-4081.8623999999945"/>
    <n v="-0.1228070175438595"/>
    <d v="2013-09-01T00:00:00"/>
    <n v="9"/>
    <s v="September"/>
    <s v="2013"/>
  </r>
  <r>
    <x v="1"/>
    <s v="United States of America"/>
    <s v="Carretera"/>
    <s v="High"/>
    <n v="2567"/>
    <n v="3"/>
    <n v="15"/>
    <n v="38505"/>
    <n v="5005.6499999999996"/>
    <n v="33499.35"/>
    <n v="25670"/>
    <n v="7829.3499999999985"/>
    <n v="38524.252499999995"/>
    <n v="-5024.9024999999965"/>
    <n v="-0.13043478260869557"/>
    <d v="2014-06-01T00:00:00"/>
    <n v="6"/>
    <s v="June"/>
    <s v="2014"/>
  </r>
  <r>
    <x v="1"/>
    <s v="United States of America"/>
    <s v="VTT"/>
    <s v="High"/>
    <n v="2567"/>
    <n v="250"/>
    <n v="15"/>
    <n v="38505"/>
    <n v="5005.6499999999996"/>
    <n v="33499.35"/>
    <n v="25670"/>
    <n v="7829.3499999999985"/>
    <n v="34504.330499999996"/>
    <n v="-1004.9804999999978"/>
    <n v="-2.9126213592232952E-2"/>
    <d v="2014-06-01T00:00:00"/>
    <n v="6"/>
    <s v="June"/>
    <s v="2014"/>
  </r>
  <r>
    <x v="0"/>
    <s v="Canada"/>
    <s v="Carretera"/>
    <s v="High"/>
    <n v="923"/>
    <n v="3"/>
    <n v="350"/>
    <n v="323050"/>
    <n v="41996.5"/>
    <n v="281053.5"/>
    <n v="239980"/>
    <n v="41073.5"/>
    <n v="255758.685"/>
    <n v="25294.815000000002"/>
    <n v="9.8901098901098911E-2"/>
    <d v="2014-03-01T00:00:00"/>
    <n v="3"/>
    <s v="March"/>
    <s v="2014"/>
  </r>
  <r>
    <x v="0"/>
    <s v="France"/>
    <s v="Carretera"/>
    <s v="High"/>
    <n v="1790"/>
    <n v="3"/>
    <n v="350"/>
    <n v="626500"/>
    <n v="81445"/>
    <n v="545055"/>
    <n v="465400"/>
    <n v="79655"/>
    <n v="490549.5"/>
    <n v="54505.5"/>
    <n v="0.1111111111111111"/>
    <d v="2014-03-01T00:00:00"/>
    <n v="3"/>
    <s v="March"/>
    <s v="2014"/>
  </r>
  <r>
    <x v="0"/>
    <s v="Germany"/>
    <s v="Carretera"/>
    <s v="High"/>
    <n v="442"/>
    <n v="3"/>
    <n v="20"/>
    <n v="8840"/>
    <n v="1149.2"/>
    <n v="7690.8"/>
    <n v="4420"/>
    <n v="3270.8"/>
    <n v="7767.7080000000005"/>
    <n v="-76.908000000000357"/>
    <n v="-9.9009900990099462E-3"/>
    <d v="2013-09-01T00:00:00"/>
    <n v="9"/>
    <s v="September"/>
    <s v="2013"/>
  </r>
  <r>
    <x v="0"/>
    <s v="United States of America"/>
    <s v="Montana"/>
    <s v="High"/>
    <n v="982.5"/>
    <n v="5"/>
    <n v="350"/>
    <n v="343875"/>
    <n v="44703.75"/>
    <n v="299171.25"/>
    <n v="255450"/>
    <n v="43721.25"/>
    <n v="344046.9375"/>
    <n v="-44875.6875"/>
    <n v="-0.13043478260869565"/>
    <d v="2014-01-01T00:00:00"/>
    <n v="1"/>
    <s v="January"/>
    <s v="2014"/>
  </r>
  <r>
    <x v="0"/>
    <s v="United States of America"/>
    <s v="Montana"/>
    <s v="High"/>
    <n v="1298"/>
    <n v="5"/>
    <n v="7"/>
    <n v="9086"/>
    <n v="1181.18"/>
    <n v="7904.82"/>
    <n v="6490"/>
    <n v="1414.8199999999997"/>
    <n v="9011.4947999999986"/>
    <n v="-1106.6747999999989"/>
    <n v="-0.12280701754385955"/>
    <d v="2014-02-01T00:00:00"/>
    <n v="2"/>
    <s v="February"/>
    <s v="2014"/>
  </r>
  <r>
    <x v="2"/>
    <s v="Mexico"/>
    <s v="Montana"/>
    <s v="High"/>
    <n v="604"/>
    <n v="5"/>
    <n v="12"/>
    <n v="7248"/>
    <n v="942.24"/>
    <n v="6305.76"/>
    <n v="1812"/>
    <n v="4493.76"/>
    <n v="5422.9535999999998"/>
    <n v="882.80640000000039"/>
    <n v="0.16279069767441867"/>
    <d v="2014-06-01T00:00:00"/>
    <n v="6"/>
    <s v="June"/>
    <s v="2014"/>
  </r>
  <r>
    <x v="0"/>
    <s v="Mexico"/>
    <s v="Montana"/>
    <s v="High"/>
    <n v="2255"/>
    <n v="5"/>
    <n v="20"/>
    <n v="45100"/>
    <n v="5863"/>
    <n v="39237"/>
    <n v="22550"/>
    <n v="16687"/>
    <n v="34136.19"/>
    <n v="5100.8099999999977"/>
    <n v="0.14942528735632177"/>
    <d v="2014-07-01T00:00:00"/>
    <n v="7"/>
    <s v="July"/>
    <s v="2014"/>
  </r>
  <r>
    <x v="0"/>
    <s v="Canada"/>
    <s v="Montana"/>
    <s v="High"/>
    <n v="1249"/>
    <n v="5"/>
    <n v="20"/>
    <n v="24980"/>
    <n v="3247.4"/>
    <n v="21732.6"/>
    <n v="12490"/>
    <n v="9242.5999999999985"/>
    <n v="21732.6"/>
    <n v="0"/>
    <n v="0"/>
    <d v="2014-10-01T00:00:00"/>
    <n v="10"/>
    <s v="October"/>
    <s v="2014"/>
  </r>
  <r>
    <x v="0"/>
    <s v="United States of America"/>
    <s v="Paseo"/>
    <s v="High"/>
    <n v="1438.5"/>
    <n v="10"/>
    <n v="7"/>
    <n v="10069.5"/>
    <n v="1309.0350000000001"/>
    <n v="8760.4650000000001"/>
    <n v="7192.5"/>
    <n v="1567.9649999999992"/>
    <n v="9811.720800000001"/>
    <n v="-1051.2558000000008"/>
    <n v="-0.10714285714285722"/>
    <d v="2014-01-01T00:00:00"/>
    <n v="1"/>
    <s v="January"/>
    <s v="2014"/>
  </r>
  <r>
    <x v="4"/>
    <s v="Germany"/>
    <s v="Paseo"/>
    <s v="High"/>
    <n v="807"/>
    <n v="10"/>
    <n v="300"/>
    <n v="242100"/>
    <n v="31473"/>
    <n v="210627"/>
    <n v="201750"/>
    <n v="8877"/>
    <n v="227477.16"/>
    <n v="-16850.160000000003"/>
    <n v="-7.4074074074074084E-2"/>
    <d v="2014-01-01T00:00:00"/>
    <n v="1"/>
    <s v="January"/>
    <s v="2014"/>
  </r>
  <r>
    <x v="0"/>
    <s v="United States of America"/>
    <s v="Paseo"/>
    <s v="High"/>
    <n v="2641"/>
    <n v="10"/>
    <n v="20"/>
    <n v="52820"/>
    <n v="6866.6"/>
    <n v="45953.4"/>
    <n v="26410"/>
    <n v="19543.400000000001"/>
    <n v="48710.604000000007"/>
    <n v="-2757.2040000000052"/>
    <n v="-5.6603773584905759E-2"/>
    <d v="2014-02-01T00:00:00"/>
    <n v="2"/>
    <s v="February"/>
    <s v="2014"/>
  </r>
  <r>
    <x v="0"/>
    <s v="Germany"/>
    <s v="Paseo"/>
    <s v="High"/>
    <n v="2708"/>
    <n v="10"/>
    <n v="20"/>
    <n v="54160"/>
    <n v="7040.8"/>
    <n v="47119.199999999997"/>
    <n v="27080"/>
    <n v="20039.199999999997"/>
    <n v="44763.24"/>
    <n v="2355.9599999999991"/>
    <n v="5.2631578947368404E-2"/>
    <d v="2014-02-01T00:00:00"/>
    <n v="2"/>
    <s v="February"/>
    <s v="2014"/>
  </r>
  <r>
    <x v="0"/>
    <s v="Canada"/>
    <s v="Paseo"/>
    <s v="High"/>
    <n v="2632"/>
    <n v="10"/>
    <n v="350"/>
    <n v="921200"/>
    <n v="119756"/>
    <n v="801444"/>
    <n v="684320"/>
    <n v="117124"/>
    <n v="921660.6"/>
    <n v="-120216.59999999998"/>
    <n v="-0.13043478260869562"/>
    <d v="2014-06-01T00:00:00"/>
    <n v="6"/>
    <s v="June"/>
    <s v="2014"/>
  </r>
  <r>
    <x v="3"/>
    <s v="Canada"/>
    <s v="Paseo"/>
    <s v="High"/>
    <n v="1583"/>
    <n v="10"/>
    <n v="125"/>
    <n v="197875"/>
    <n v="25723.75"/>
    <n v="172151.25"/>
    <n v="189960"/>
    <n v="-17808.75"/>
    <n v="196252.42499999999"/>
    <n v="-24101.174999999988"/>
    <n v="-0.1228070175438596"/>
    <d v="2014-06-01T00:00:00"/>
    <n v="6"/>
    <s v="June"/>
    <s v="2014"/>
  </r>
  <r>
    <x v="2"/>
    <s v="Mexico"/>
    <s v="Paseo"/>
    <s v="High"/>
    <n v="571"/>
    <n v="10"/>
    <n v="12"/>
    <n v="6852"/>
    <n v="890.76"/>
    <n v="5961.24"/>
    <n v="1713"/>
    <n v="4248.24"/>
    <n v="6736.2011999999995"/>
    <n v="-774.96119999999974"/>
    <n v="-0.11504424778761059"/>
    <d v="2014-07-01T00:00:00"/>
    <n v="7"/>
    <s v="July"/>
    <s v="2014"/>
  </r>
  <r>
    <x v="0"/>
    <s v="France"/>
    <s v="Paseo"/>
    <s v="High"/>
    <n v="2696"/>
    <n v="10"/>
    <n v="7"/>
    <n v="18872"/>
    <n v="2453.36"/>
    <n v="16418.64"/>
    <n v="13480"/>
    <n v="2938.6399999999994"/>
    <n v="17567.944800000001"/>
    <n v="-1149.3048000000017"/>
    <n v="-6.5420560747663642E-2"/>
    <d v="2014-08-01T00:00:00"/>
    <n v="8"/>
    <s v="August"/>
    <s v="2014"/>
  </r>
  <r>
    <x v="1"/>
    <s v="Canada"/>
    <s v="Paseo"/>
    <s v="High"/>
    <n v="1565"/>
    <n v="10"/>
    <n v="15"/>
    <n v="23475"/>
    <n v="3051.75"/>
    <n v="20423.25"/>
    <n v="15650"/>
    <n v="4773.25"/>
    <n v="18789.39"/>
    <n v="1633.8600000000006"/>
    <n v="8.6956521739130474E-2"/>
    <d v="2014-10-01T00:00:00"/>
    <n v="10"/>
    <s v="October"/>
    <s v="2014"/>
  </r>
  <r>
    <x v="0"/>
    <s v="Canada"/>
    <s v="Paseo"/>
    <s v="High"/>
    <n v="1249"/>
    <n v="10"/>
    <n v="20"/>
    <n v="24980"/>
    <n v="3247.4"/>
    <n v="21732.6"/>
    <n v="12490"/>
    <n v="9242.5999999999985"/>
    <n v="20645.969999999998"/>
    <n v="1086.630000000001"/>
    <n v="5.2631578947368474E-2"/>
    <d v="2014-10-01T00:00:00"/>
    <n v="10"/>
    <s v="October"/>
    <s v="2014"/>
  </r>
  <r>
    <x v="0"/>
    <s v="Germany"/>
    <s v="Paseo"/>
    <s v="High"/>
    <n v="357"/>
    <n v="10"/>
    <n v="350"/>
    <n v="124950"/>
    <n v="16243.5"/>
    <n v="108706.5"/>
    <n v="92820"/>
    <n v="15886.5"/>
    <n v="95661.72"/>
    <n v="13044.779999999999"/>
    <n v="0.13636363636363635"/>
    <d v="2014-11-01T00:00:00"/>
    <n v="11"/>
    <s v="November"/>
    <s v="2014"/>
  </r>
  <r>
    <x v="2"/>
    <s v="Germany"/>
    <s v="Paseo"/>
    <s v="High"/>
    <n v="1013"/>
    <n v="10"/>
    <n v="12"/>
    <n v="12156"/>
    <n v="1580.28"/>
    <n v="10575.72"/>
    <n v="3039"/>
    <n v="7536.7199999999993"/>
    <n v="9623.9051999999992"/>
    <n v="951.8148000000001"/>
    <n v="9.8901098901098924E-2"/>
    <d v="2014-12-01T00:00:00"/>
    <n v="12"/>
    <s v="December"/>
    <s v="2014"/>
  </r>
  <r>
    <x v="1"/>
    <s v="France"/>
    <s v="Velo"/>
    <s v="High"/>
    <n v="3997.5"/>
    <n v="120"/>
    <n v="15"/>
    <n v="59962.5"/>
    <n v="7795.125"/>
    <n v="52167.375"/>
    <n v="39975"/>
    <n v="12192.375"/>
    <n v="52167.375"/>
    <n v="0"/>
    <n v="0"/>
    <d v="2014-01-01T00:00:00"/>
    <n v="1"/>
    <s v="January"/>
    <s v="2014"/>
  </r>
  <r>
    <x v="0"/>
    <s v="Canada"/>
    <s v="Velo"/>
    <s v="High"/>
    <n v="2632"/>
    <n v="120"/>
    <n v="350"/>
    <n v="921200"/>
    <n v="119756"/>
    <n v="801444"/>
    <n v="684320"/>
    <n v="117124"/>
    <n v="913646.15999999992"/>
    <n v="-112202.15999999992"/>
    <n v="-0.12280701754385957"/>
    <d v="2014-06-01T00:00:00"/>
    <n v="6"/>
    <s v="June"/>
    <s v="2014"/>
  </r>
  <r>
    <x v="0"/>
    <s v="France"/>
    <s v="Velo"/>
    <s v="High"/>
    <n v="1190"/>
    <n v="120"/>
    <n v="7"/>
    <n v="8330"/>
    <n v="1082.9000000000001"/>
    <n v="7247.1"/>
    <n v="5950"/>
    <n v="1297.1000000000004"/>
    <n v="7464.5130000000008"/>
    <n v="-217.41300000000047"/>
    <n v="-2.912621359223307E-2"/>
    <d v="2014-06-01T00:00:00"/>
    <n v="6"/>
    <s v="June"/>
    <s v="2014"/>
  </r>
  <r>
    <x v="2"/>
    <s v="Mexico"/>
    <s v="Velo"/>
    <s v="High"/>
    <n v="604"/>
    <n v="120"/>
    <n v="12"/>
    <n v="7248"/>
    <n v="942.24"/>
    <n v="6305.76"/>
    <n v="1812"/>
    <n v="4493.76"/>
    <n v="5927.4143999999997"/>
    <n v="378.34560000000056"/>
    <n v="6.3829787234042645E-2"/>
    <d v="2014-06-01T00:00:00"/>
    <n v="6"/>
    <s v="June"/>
    <s v="2014"/>
  </r>
  <r>
    <x v="1"/>
    <s v="Germany"/>
    <s v="Velo"/>
    <s v="High"/>
    <n v="660"/>
    <n v="120"/>
    <n v="15"/>
    <n v="9900"/>
    <n v="1287"/>
    <n v="8613"/>
    <n v="6600"/>
    <n v="2013"/>
    <n v="8096.2199999999993"/>
    <n v="516.78000000000065"/>
    <n v="6.3829787234042645E-2"/>
    <d v="2013-09-01T00:00:00"/>
    <n v="9"/>
    <s v="September"/>
    <s v="2013"/>
  </r>
  <r>
    <x v="2"/>
    <s v="Mexico"/>
    <s v="Velo"/>
    <s v="High"/>
    <n v="410"/>
    <n v="120"/>
    <n v="12"/>
    <n v="4920"/>
    <n v="639.6"/>
    <n v="4280.3999999999996"/>
    <n v="1230"/>
    <n v="3050.3999999999996"/>
    <n v="4366.0079999999998"/>
    <n v="-85.608000000000175"/>
    <n v="-1.9607843137254943E-2"/>
    <d v="2014-10-01T00:00:00"/>
    <n v="10"/>
    <s v="October"/>
    <s v="2014"/>
  </r>
  <r>
    <x v="4"/>
    <s v="Mexico"/>
    <s v="Velo"/>
    <s v="High"/>
    <n v="2605"/>
    <n v="120"/>
    <n v="300"/>
    <n v="781500"/>
    <n v="101595"/>
    <n v="679905"/>
    <n v="651250"/>
    <n v="28655"/>
    <n v="645909.75"/>
    <n v="33995.25"/>
    <n v="5.2631578947368418E-2"/>
    <d v="2013-11-01T00:00:00"/>
    <n v="11"/>
    <s v="November"/>
    <s v="2013"/>
  </r>
  <r>
    <x v="2"/>
    <s v="Germany"/>
    <s v="Velo"/>
    <s v="High"/>
    <n v="1013"/>
    <n v="120"/>
    <n v="12"/>
    <n v="12156"/>
    <n v="1580.28"/>
    <n v="10575.72"/>
    <n v="3039"/>
    <n v="7536.7199999999993"/>
    <n v="12056.320799999998"/>
    <n v="-1480.6007999999983"/>
    <n v="-0.12280701754385953"/>
    <d v="2014-12-01T00:00:00"/>
    <n v="12"/>
    <s v="December"/>
    <s v="2014"/>
  </r>
  <r>
    <x v="3"/>
    <s v="Canada"/>
    <s v="VTT"/>
    <s v="High"/>
    <n v="1583"/>
    <n v="250"/>
    <n v="125"/>
    <n v="197875"/>
    <n v="25723.75"/>
    <n v="172151.25"/>
    <n v="189960"/>
    <n v="-17808.75"/>
    <n v="187644.86250000002"/>
    <n v="-15493.612500000017"/>
    <n v="-8.2568807339449629E-2"/>
    <d v="2014-06-01T00:00:00"/>
    <n v="6"/>
    <s v="June"/>
    <s v="2014"/>
  </r>
  <r>
    <x v="1"/>
    <s v="Canada"/>
    <s v="VTT"/>
    <s v="High"/>
    <n v="1565"/>
    <n v="250"/>
    <n v="15"/>
    <n v="23475"/>
    <n v="3051.75"/>
    <n v="20423.25"/>
    <n v="15650"/>
    <n v="4773.25"/>
    <n v="23486.737499999999"/>
    <n v="-3063.4874999999993"/>
    <n v="-0.13043478260869562"/>
    <d v="2014-10-01T00:00:00"/>
    <n v="10"/>
    <s v="October"/>
    <s v="2014"/>
  </r>
  <r>
    <x v="3"/>
    <s v="Canada"/>
    <s v="Amarilla"/>
    <s v="High"/>
    <n v="1659"/>
    <n v="260"/>
    <n v="125"/>
    <n v="207375"/>
    <n v="26958.75"/>
    <n v="180416.25"/>
    <n v="199080"/>
    <n v="-18663.75"/>
    <n v="187632.9"/>
    <n v="-7216.6499999999942"/>
    <n v="-3.8461538461538429E-2"/>
    <d v="2014-01-01T00:00:00"/>
    <n v="1"/>
    <s v="January"/>
    <s v="2014"/>
  </r>
  <r>
    <x v="0"/>
    <s v="France"/>
    <s v="Amarilla"/>
    <s v="High"/>
    <n v="1190"/>
    <n v="260"/>
    <n v="7"/>
    <n v="8330"/>
    <n v="1082.9000000000001"/>
    <n v="7247.1"/>
    <n v="5950"/>
    <n v="1297.1000000000004"/>
    <n v="7102.1580000000004"/>
    <n v="144.94200000000001"/>
    <n v="2.0408163265306121E-2"/>
    <d v="2014-06-01T00:00:00"/>
    <n v="6"/>
    <s v="June"/>
    <s v="2014"/>
  </r>
  <r>
    <x v="2"/>
    <s v="Mexico"/>
    <s v="Amarilla"/>
    <s v="High"/>
    <n v="410"/>
    <n v="260"/>
    <n v="12"/>
    <n v="4920"/>
    <n v="639.6"/>
    <n v="4280.3999999999996"/>
    <n v="1230"/>
    <n v="3050.3999999999996"/>
    <n v="3852.3599999999997"/>
    <n v="428.03999999999996"/>
    <n v="0.1111111111111111"/>
    <d v="2014-10-01T00:00:00"/>
    <n v="10"/>
    <s v="October"/>
    <s v="2014"/>
  </r>
  <r>
    <x v="2"/>
    <s v="Germany"/>
    <s v="Amarilla"/>
    <s v="High"/>
    <n v="1770"/>
    <n v="260"/>
    <n v="12"/>
    <n v="21240"/>
    <n v="2761.2"/>
    <n v="18478.8"/>
    <n v="5310"/>
    <n v="13168.8"/>
    <n v="18294.011999999999"/>
    <n v="184.78800000000047"/>
    <n v="1.0101010101010128E-2"/>
    <d v="2013-12-01T00:00:00"/>
    <n v="12"/>
    <s v="December"/>
    <s v="2013"/>
  </r>
  <r>
    <x v="0"/>
    <s v="Mexico"/>
    <s v="Carretera"/>
    <s v="High"/>
    <n v="2579"/>
    <n v="3"/>
    <n v="20"/>
    <n v="51580"/>
    <n v="7221.2"/>
    <n v="44358.8"/>
    <n v="25790"/>
    <n v="18568.800000000003"/>
    <n v="48351.092000000004"/>
    <n v="-3992.2920000000013"/>
    <n v="-8.256880733944956E-2"/>
    <d v="2014-04-01T00:00:00"/>
    <n v="4"/>
    <s v="April"/>
    <s v="2014"/>
  </r>
  <r>
    <x v="0"/>
    <s v="United States of America"/>
    <s v="Carretera"/>
    <s v="High"/>
    <n v="1743"/>
    <n v="3"/>
    <n v="20"/>
    <n v="34860"/>
    <n v="4880.3999999999996"/>
    <n v="29979.599999999999"/>
    <n v="17430"/>
    <n v="12549.599999999999"/>
    <n v="32377.968000000001"/>
    <n v="-2398.3680000000022"/>
    <n v="-7.4074074074074139E-2"/>
    <d v="2014-05-01T00:00:00"/>
    <n v="5"/>
    <s v="May"/>
    <s v="2014"/>
  </r>
  <r>
    <x v="0"/>
    <s v="United States of America"/>
    <s v="Carretera"/>
    <s v="High"/>
    <n v="2996"/>
    <n v="3"/>
    <n v="7"/>
    <n v="20972"/>
    <n v="2936.08"/>
    <n v="18035.919999999998"/>
    <n v="14980"/>
    <n v="3055.9199999999983"/>
    <n v="19839.511999999999"/>
    <n v="-1803.5920000000006"/>
    <n v="-9.0909090909090939E-2"/>
    <d v="2013-10-01T00:00:00"/>
    <n v="10"/>
    <s v="October"/>
    <s v="2013"/>
  </r>
  <r>
    <x v="0"/>
    <s v="Germany"/>
    <s v="Carretera"/>
    <s v="High"/>
    <n v="280"/>
    <n v="3"/>
    <n v="7"/>
    <n v="1960"/>
    <n v="274.39999999999998"/>
    <n v="1685.6"/>
    <n v="1400"/>
    <n v="285.59999999999991"/>
    <n v="1517.04"/>
    <n v="168.55999999999995"/>
    <n v="0.11111111111111108"/>
    <d v="2014-12-01T00:00:00"/>
    <n v="12"/>
    <s v="December"/>
    <s v="2014"/>
  </r>
  <r>
    <x v="0"/>
    <s v="France"/>
    <s v="Montana"/>
    <s v="High"/>
    <n v="293"/>
    <n v="5"/>
    <n v="7"/>
    <n v="2051"/>
    <n v="287.14"/>
    <n v="1763.8600000000001"/>
    <n v="1465"/>
    <n v="298.86000000000013"/>
    <n v="1622.7512000000002"/>
    <n v="141.10879999999997"/>
    <n v="8.6956521739130405E-2"/>
    <d v="2014-02-01T00:00:00"/>
    <n v="2"/>
    <s v="February"/>
    <s v="2014"/>
  </r>
  <r>
    <x v="0"/>
    <s v="United States of America"/>
    <s v="Montana"/>
    <s v="High"/>
    <n v="2996"/>
    <n v="5"/>
    <n v="7"/>
    <n v="20972"/>
    <n v="2936.08"/>
    <n v="18035.919999999998"/>
    <n v="14980"/>
    <n v="3055.9199999999983"/>
    <n v="18937.716"/>
    <n v="-901.7960000000021"/>
    <n v="-4.7619047619047727E-2"/>
    <d v="2013-10-01T00:00:00"/>
    <n v="10"/>
    <s v="October"/>
    <s v="2013"/>
  </r>
  <r>
    <x v="1"/>
    <s v="Germany"/>
    <s v="Paseo"/>
    <s v="High"/>
    <n v="278"/>
    <n v="10"/>
    <n v="15"/>
    <n v="4170"/>
    <n v="583.79999999999995"/>
    <n v="3586.2"/>
    <n v="2780"/>
    <n v="806.19999999999982"/>
    <n v="4124.1299999999992"/>
    <n v="-537.92999999999938"/>
    <n v="-0.13043478260869554"/>
    <d v="2014-02-01T00:00:00"/>
    <n v="2"/>
    <s v="February"/>
    <s v="2014"/>
  </r>
  <r>
    <x v="0"/>
    <s v="Canada"/>
    <s v="Paseo"/>
    <s v="High"/>
    <n v="2428"/>
    <n v="10"/>
    <n v="20"/>
    <n v="48560"/>
    <n v="6798.4"/>
    <n v="41761.599999999999"/>
    <n v="24280"/>
    <n v="17481.599999999999"/>
    <n v="45937.760000000002"/>
    <n v="-4176.1600000000035"/>
    <n v="-9.0909090909090981E-2"/>
    <d v="2014-03-01T00:00:00"/>
    <n v="3"/>
    <s v="March"/>
    <s v="2014"/>
  </r>
  <r>
    <x v="1"/>
    <s v="United States of America"/>
    <s v="Paseo"/>
    <s v="High"/>
    <n v="1767"/>
    <n v="10"/>
    <n v="15"/>
    <n v="26505"/>
    <n v="3710.7"/>
    <n v="22794.3"/>
    <n v="17670"/>
    <n v="5124.2999999999993"/>
    <n v="21654.584999999999"/>
    <n v="1139.7150000000001"/>
    <n v="5.2631578947368432E-2"/>
    <d v="2014-09-01T00:00:00"/>
    <n v="9"/>
    <s v="September"/>
    <s v="2014"/>
  </r>
  <r>
    <x v="2"/>
    <s v="France"/>
    <s v="Paseo"/>
    <s v="High"/>
    <n v="1393"/>
    <n v="10"/>
    <n v="12"/>
    <n v="16716"/>
    <n v="2340.2399999999998"/>
    <n v="14375.76"/>
    <n v="4179"/>
    <n v="10196.76"/>
    <n v="15669.578400000002"/>
    <n v="-1293.8184000000019"/>
    <n v="-8.2568807339449657E-2"/>
    <d v="2014-10-01T00:00:00"/>
    <n v="10"/>
    <s v="October"/>
    <s v="2014"/>
  </r>
  <r>
    <x v="0"/>
    <s v="Germany"/>
    <s v="VTT"/>
    <s v="High"/>
    <n v="280"/>
    <n v="250"/>
    <n v="7"/>
    <n v="1960"/>
    <n v="274.39999999999998"/>
    <n v="1685.6"/>
    <n v="1400"/>
    <n v="285.59999999999991"/>
    <n v="1820.4480000000001"/>
    <n v="-134.84800000000018"/>
    <n v="-7.4074074074074167E-2"/>
    <d v="2014-12-01T00:00:00"/>
    <n v="12"/>
    <s v="December"/>
    <s v="2014"/>
  </r>
  <r>
    <x v="2"/>
    <s v="France"/>
    <s v="Amarilla"/>
    <s v="High"/>
    <n v="1393"/>
    <n v="260"/>
    <n v="12"/>
    <n v="16716"/>
    <n v="2340.2399999999998"/>
    <n v="14375.76"/>
    <n v="4179"/>
    <n v="10196.76"/>
    <n v="13800.729600000001"/>
    <n v="575.03039999999964"/>
    <n v="4.1666666666666637E-2"/>
    <d v="2014-10-01T00:00:00"/>
    <n v="10"/>
    <s v="October"/>
    <s v="2014"/>
  </r>
  <r>
    <x v="2"/>
    <s v="United States of America"/>
    <s v="Amarilla"/>
    <s v="High"/>
    <n v="2015"/>
    <n v="260"/>
    <n v="12"/>
    <n v="24180"/>
    <n v="3385.2"/>
    <n v="20794.8"/>
    <n v="6045"/>
    <n v="14749.8"/>
    <n v="19131.216"/>
    <n v="1663.5839999999989"/>
    <n v="8.6956521739130377E-2"/>
    <d v="2013-12-01T00:00:00"/>
    <n v="12"/>
    <s v="December"/>
    <s v="2013"/>
  </r>
  <r>
    <x v="4"/>
    <s v="Mexico"/>
    <s v="Carretera"/>
    <s v="High"/>
    <n v="801"/>
    <n v="3"/>
    <n v="300"/>
    <n v="240300"/>
    <n v="33642"/>
    <n v="206658"/>
    <n v="200250"/>
    <n v="6408"/>
    <n v="200458.25999999998"/>
    <n v="6199.7400000000198"/>
    <n v="3.0927835051546494E-2"/>
    <d v="2014-07-01T00:00:00"/>
    <n v="7"/>
    <s v="July"/>
    <s v="2014"/>
  </r>
  <r>
    <x v="3"/>
    <s v="France"/>
    <s v="Carretera"/>
    <s v="High"/>
    <n v="1023"/>
    <n v="3"/>
    <n v="125"/>
    <n v="127875"/>
    <n v="17902.5"/>
    <n v="109972.5"/>
    <n v="122760"/>
    <n v="-12787.5"/>
    <n v="126468.37499999999"/>
    <n v="-16495.874999999985"/>
    <n v="-0.13043478260869557"/>
    <d v="2013-09-01T00:00:00"/>
    <n v="9"/>
    <s v="September"/>
    <s v="2013"/>
  </r>
  <r>
    <x v="4"/>
    <s v="Canada"/>
    <s v="Carretera"/>
    <s v="High"/>
    <n v="1496"/>
    <n v="3"/>
    <n v="300"/>
    <n v="448800"/>
    <n v="62832"/>
    <n v="385968"/>
    <n v="374000"/>
    <n v="11968"/>
    <n v="358950.24"/>
    <n v="27017.760000000009"/>
    <n v="7.5268817204301106E-2"/>
    <d v="2014-10-01T00:00:00"/>
    <n v="10"/>
    <s v="October"/>
    <s v="2014"/>
  </r>
  <r>
    <x v="4"/>
    <s v="United States of America"/>
    <s v="Carretera"/>
    <s v="High"/>
    <n v="1010"/>
    <n v="3"/>
    <n v="300"/>
    <n v="303000"/>
    <n v="42420"/>
    <n v="260580"/>
    <n v="252500"/>
    <n v="8080"/>
    <n v="244945.19999999998"/>
    <n v="15634.800000000017"/>
    <n v="6.3829787234042631E-2"/>
    <d v="2014-10-01T00:00:00"/>
    <n v="10"/>
    <s v="October"/>
    <s v="2014"/>
  </r>
  <r>
    <x v="1"/>
    <s v="Germany"/>
    <s v="Carretera"/>
    <s v="High"/>
    <n v="1513"/>
    <n v="3"/>
    <n v="15"/>
    <n v="22695"/>
    <n v="3177.3"/>
    <n v="19517.7"/>
    <n v="15130"/>
    <n v="4387.7000000000007"/>
    <n v="18541.814999999999"/>
    <n v="975.88500000000204"/>
    <n v="5.2631578947368536E-2"/>
    <d v="2014-11-01T00:00:00"/>
    <n v="11"/>
    <s v="November"/>
    <s v="2014"/>
  </r>
  <r>
    <x v="1"/>
    <s v="Canada"/>
    <s v="Carretera"/>
    <s v="High"/>
    <n v="2300"/>
    <n v="3"/>
    <n v="15"/>
    <n v="34500"/>
    <n v="4830"/>
    <n v="29670"/>
    <n v="23000"/>
    <n v="6670"/>
    <n v="30856.799999999999"/>
    <n v="-1186.7999999999993"/>
    <n v="-3.8461538461538436E-2"/>
    <d v="2014-12-01T00:00:00"/>
    <n v="12"/>
    <s v="December"/>
    <s v="2014"/>
  </r>
  <r>
    <x v="3"/>
    <s v="Mexico"/>
    <s v="Carretera"/>
    <s v="High"/>
    <n v="2821"/>
    <n v="3"/>
    <n v="125"/>
    <n v="352625"/>
    <n v="49367.5"/>
    <n v="303257.5"/>
    <n v="338520"/>
    <n v="-35262.5"/>
    <n v="309322.65000000002"/>
    <n v="-6065.1500000000233"/>
    <n v="-1.9607843137254975E-2"/>
    <d v="2013-12-01T00:00:00"/>
    <n v="12"/>
    <s v="December"/>
    <s v="2013"/>
  </r>
  <r>
    <x v="0"/>
    <s v="Canada"/>
    <s v="Montana"/>
    <s v="High"/>
    <n v="2227.5"/>
    <n v="5"/>
    <n v="350"/>
    <n v="779625"/>
    <n v="109147.5"/>
    <n v="670477.5"/>
    <n v="579150"/>
    <n v="91327.5"/>
    <n v="583315.42500000005"/>
    <n v="87162.074999999953"/>
    <n v="0.14942528735632174"/>
    <d v="2014-01-01T00:00:00"/>
    <n v="1"/>
    <s v="January"/>
    <s v="2014"/>
  </r>
  <r>
    <x v="0"/>
    <s v="Germany"/>
    <s v="Montana"/>
    <s v="High"/>
    <n v="1199"/>
    <n v="5"/>
    <n v="350"/>
    <n v="419650"/>
    <n v="58751"/>
    <n v="360899"/>
    <n v="311740"/>
    <n v="49159"/>
    <n v="378943.95"/>
    <n v="-18044.950000000012"/>
    <n v="-4.7619047619047651E-2"/>
    <d v="2014-04-01T00:00:00"/>
    <n v="4"/>
    <s v="April"/>
    <s v="2014"/>
  </r>
  <r>
    <x v="0"/>
    <s v="Canada"/>
    <s v="Montana"/>
    <s v="High"/>
    <n v="200"/>
    <n v="5"/>
    <n v="350"/>
    <n v="70000"/>
    <n v="9800"/>
    <n v="60200"/>
    <n v="52000"/>
    <n v="8200"/>
    <n v="65016.000000000007"/>
    <n v="-4816.0000000000073"/>
    <n v="-7.4074074074074181E-2"/>
    <d v="2014-05-01T00:00:00"/>
    <n v="5"/>
    <s v="May"/>
    <s v="2014"/>
  </r>
  <r>
    <x v="0"/>
    <s v="Canada"/>
    <s v="Montana"/>
    <s v="High"/>
    <n v="388"/>
    <n v="5"/>
    <n v="7"/>
    <n v="2716"/>
    <n v="380.24"/>
    <n v="2335.7600000000002"/>
    <n v="1940"/>
    <n v="395.76000000000022"/>
    <n v="2335.7600000000002"/>
    <n v="0"/>
    <n v="0"/>
    <d v="2014-09-01T00:00:00"/>
    <n v="9"/>
    <s v="September"/>
    <s v="2014"/>
  </r>
  <r>
    <x v="0"/>
    <s v="Mexico"/>
    <s v="Montana"/>
    <s v="High"/>
    <n v="1727"/>
    <n v="5"/>
    <n v="7"/>
    <n v="12089"/>
    <n v="1692.46"/>
    <n v="10396.540000000001"/>
    <n v="8635"/>
    <n v="1761.5400000000009"/>
    <n v="10812.401600000001"/>
    <n v="-415.86160000000018"/>
    <n v="-3.8461538461538478E-2"/>
    <d v="2013-10-01T00:00:00"/>
    <n v="10"/>
    <s v="October"/>
    <s v="2013"/>
  </r>
  <r>
    <x v="1"/>
    <s v="Canada"/>
    <s v="Montana"/>
    <s v="High"/>
    <n v="2300"/>
    <n v="5"/>
    <n v="15"/>
    <n v="34500"/>
    <n v="4830"/>
    <n v="29670"/>
    <n v="23000"/>
    <n v="6670"/>
    <n v="29966.7"/>
    <n v="-296.70000000000073"/>
    <n v="-9.9009900990099254E-3"/>
    <d v="2014-12-01T00:00:00"/>
    <n v="12"/>
    <s v="December"/>
    <s v="2014"/>
  </r>
  <r>
    <x v="0"/>
    <s v="Mexico"/>
    <s v="Paseo"/>
    <s v="High"/>
    <n v="260"/>
    <n v="10"/>
    <n v="20"/>
    <n v="5200"/>
    <n v="728"/>
    <n v="4472"/>
    <n v="2600"/>
    <n v="1872"/>
    <n v="3980.08"/>
    <n v="491.92000000000007"/>
    <n v="0.12359550561797755"/>
    <d v="2014-02-01T00:00:00"/>
    <n v="2"/>
    <s v="February"/>
    <s v="2014"/>
  </r>
  <r>
    <x v="1"/>
    <s v="Canada"/>
    <s v="Paseo"/>
    <s v="High"/>
    <n v="2470"/>
    <n v="10"/>
    <n v="15"/>
    <n v="37050"/>
    <n v="5187"/>
    <n v="31863"/>
    <n v="24700"/>
    <n v="7163"/>
    <n v="27083.55"/>
    <n v="4779.4500000000007"/>
    <n v="0.17647058823529416"/>
    <d v="2013-09-01T00:00:00"/>
    <n v="9"/>
    <s v="September"/>
    <s v="2013"/>
  </r>
  <r>
    <x v="1"/>
    <s v="Canada"/>
    <s v="Paseo"/>
    <s v="High"/>
    <n v="1743"/>
    <n v="10"/>
    <n v="15"/>
    <n v="26145"/>
    <n v="3660.3"/>
    <n v="22484.7"/>
    <n v="17430"/>
    <n v="5054.7000000000007"/>
    <n v="23608.935000000001"/>
    <n v="-1124.2350000000006"/>
    <n v="-4.7619047619047644E-2"/>
    <d v="2013-10-01T00:00:00"/>
    <n v="10"/>
    <s v="October"/>
    <s v="2013"/>
  </r>
  <r>
    <x v="2"/>
    <s v="United States of America"/>
    <s v="Paseo"/>
    <s v="High"/>
    <n v="2914"/>
    <n v="10"/>
    <n v="12"/>
    <n v="34968"/>
    <n v="4895.5200000000004"/>
    <n v="30072.48"/>
    <n v="8742"/>
    <n v="21330.48"/>
    <n v="30673.929599999999"/>
    <n v="-601.44959999999992"/>
    <n v="-1.9607843137254898E-2"/>
    <d v="2014-10-01T00:00:00"/>
    <n v="10"/>
    <s v="October"/>
    <s v="2014"/>
  </r>
  <r>
    <x v="0"/>
    <s v="France"/>
    <s v="Paseo"/>
    <s v="High"/>
    <n v="1731"/>
    <n v="10"/>
    <n v="7"/>
    <n v="12117"/>
    <n v="1696.38"/>
    <n v="10420.619999999999"/>
    <n v="8655"/>
    <n v="1765.619999999999"/>
    <n v="11150.063399999999"/>
    <n v="-729.44340000000011"/>
    <n v="-6.5420560747663573E-2"/>
    <d v="2014-10-01T00:00:00"/>
    <n v="10"/>
    <s v="October"/>
    <s v="2014"/>
  </r>
  <r>
    <x v="0"/>
    <s v="Canada"/>
    <s v="Paseo"/>
    <s v="High"/>
    <n v="700"/>
    <n v="10"/>
    <n v="350"/>
    <n v="245000"/>
    <n v="34300"/>
    <n v="210700"/>
    <n v="182000"/>
    <n v="28700"/>
    <n v="206486"/>
    <n v="4214"/>
    <n v="2.0408163265306121E-2"/>
    <d v="2014-11-01T00:00:00"/>
    <n v="11"/>
    <s v="November"/>
    <s v="2014"/>
  </r>
  <r>
    <x v="2"/>
    <s v="Canada"/>
    <s v="Paseo"/>
    <s v="High"/>
    <n v="2222"/>
    <n v="10"/>
    <n v="12"/>
    <n v="26664"/>
    <n v="3732.96"/>
    <n v="22931.040000000001"/>
    <n v="6666"/>
    <n v="16265.04"/>
    <n v="24306.902400000003"/>
    <n v="-1375.8624000000018"/>
    <n v="-5.6603773584905731E-2"/>
    <d v="2013-11-01T00:00:00"/>
    <n v="11"/>
    <s v="November"/>
    <s v="2013"/>
  </r>
  <r>
    <x v="0"/>
    <s v="United States of America"/>
    <s v="Paseo"/>
    <s v="High"/>
    <n v="1177"/>
    <n v="10"/>
    <n v="350"/>
    <n v="411950"/>
    <n v="57673"/>
    <n v="354277"/>
    <n v="306020"/>
    <n v="48257"/>
    <n v="315306.53000000003"/>
    <n v="38970.469999999972"/>
    <n v="0.12359550561797743"/>
    <d v="2014-11-01T00:00:00"/>
    <n v="11"/>
    <s v="November"/>
    <s v="2014"/>
  </r>
  <r>
    <x v="0"/>
    <s v="France"/>
    <s v="Paseo"/>
    <s v="High"/>
    <n v="1922"/>
    <n v="10"/>
    <n v="350"/>
    <n v="672700"/>
    <n v="94178"/>
    <n v="578522"/>
    <n v="499720"/>
    <n v="78802"/>
    <n v="619018.54"/>
    <n v="-40496.540000000037"/>
    <n v="-6.5420560747663614E-2"/>
    <d v="2013-11-01T00:00:00"/>
    <n v="11"/>
    <s v="November"/>
    <s v="2013"/>
  </r>
  <r>
    <x v="3"/>
    <s v="Mexico"/>
    <s v="Velo"/>
    <s v="High"/>
    <n v="1575"/>
    <n v="120"/>
    <n v="125"/>
    <n v="196875"/>
    <n v="27562.5"/>
    <n v="169312.5"/>
    <n v="189000"/>
    <n v="-19687.5"/>
    <n v="171005.625"/>
    <n v="-1693.125"/>
    <n v="-9.9009900990099011E-3"/>
    <d v="2014-02-01T00:00:00"/>
    <n v="2"/>
    <s v="February"/>
    <s v="2014"/>
  </r>
  <r>
    <x v="0"/>
    <s v="United States of America"/>
    <s v="Velo"/>
    <s v="High"/>
    <n v="606"/>
    <n v="120"/>
    <n v="20"/>
    <n v="12120"/>
    <n v="1696.8000000000002"/>
    <n v="10423.200000000001"/>
    <n v="6060"/>
    <n v="4363.2000000000007"/>
    <n v="9068.1840000000011"/>
    <n v="1355.0159999999996"/>
    <n v="0.14942528735632177"/>
    <d v="2014-04-01T00:00:00"/>
    <n v="4"/>
    <s v="April"/>
    <s v="2014"/>
  </r>
  <r>
    <x v="4"/>
    <s v="United States of America"/>
    <s v="Velo"/>
    <s v="High"/>
    <n v="2460"/>
    <n v="120"/>
    <n v="300"/>
    <n v="738000"/>
    <n v="103320"/>
    <n v="634680"/>
    <n v="615000"/>
    <n v="19680"/>
    <n v="647373.6"/>
    <n v="-12693.599999999977"/>
    <n v="-1.9607843137254867E-2"/>
    <d v="2014-07-01T00:00:00"/>
    <n v="7"/>
    <s v="July"/>
    <s v="2014"/>
  </r>
  <r>
    <x v="4"/>
    <s v="Canada"/>
    <s v="Velo"/>
    <s v="High"/>
    <n v="269"/>
    <n v="120"/>
    <n v="300"/>
    <n v="80700"/>
    <n v="11298"/>
    <n v="69402"/>
    <n v="67250"/>
    <n v="2152"/>
    <n v="69402"/>
    <n v="0"/>
    <n v="0"/>
    <d v="2013-10-01T00:00:00"/>
    <n v="10"/>
    <s v="October"/>
    <s v="2013"/>
  </r>
  <r>
    <x v="4"/>
    <s v="Germany"/>
    <s v="Velo"/>
    <s v="High"/>
    <n v="2536"/>
    <n v="120"/>
    <n v="300"/>
    <n v="760800"/>
    <n v="106512"/>
    <n v="654288"/>
    <n v="634000"/>
    <n v="20288"/>
    <n v="739345.44"/>
    <n v="-85057.439999999944"/>
    <n v="-0.11504424778761055"/>
    <d v="2013-11-01T00:00:00"/>
    <n v="11"/>
    <s v="November"/>
    <s v="2013"/>
  </r>
  <r>
    <x v="0"/>
    <s v="Mexico"/>
    <s v="VTT"/>
    <s v="High"/>
    <n v="2903"/>
    <n v="250"/>
    <n v="7"/>
    <n v="20321"/>
    <n v="2844.94"/>
    <n v="17476.060000000001"/>
    <n v="14515"/>
    <n v="2961.0600000000013"/>
    <n v="15204.172200000001"/>
    <n v="2271.8878000000004"/>
    <n v="0.14942528735632185"/>
    <d v="2014-03-01T00:00:00"/>
    <n v="3"/>
    <s v="March"/>
    <s v="2014"/>
  </r>
  <r>
    <x v="4"/>
    <s v="United States of America"/>
    <s v="VTT"/>
    <s v="High"/>
    <n v="2541"/>
    <n v="250"/>
    <n v="300"/>
    <n v="762300"/>
    <n v="106722"/>
    <n v="655578"/>
    <n v="635250"/>
    <n v="20328"/>
    <n v="563797.07999999996"/>
    <n v="91780.920000000042"/>
    <n v="0.1627906976744187"/>
    <d v="2014-08-01T00:00:00"/>
    <n v="8"/>
    <s v="August"/>
    <s v="2014"/>
  </r>
  <r>
    <x v="4"/>
    <s v="Canada"/>
    <s v="VTT"/>
    <s v="High"/>
    <n v="269"/>
    <n v="250"/>
    <n v="300"/>
    <n v="80700"/>
    <n v="11298"/>
    <n v="69402"/>
    <n v="67250"/>
    <n v="2152"/>
    <n v="78424.259999999995"/>
    <n v="-9022.2599999999948"/>
    <n v="-0.11504424778761056"/>
    <d v="2013-10-01T00:00:00"/>
    <n v="10"/>
    <s v="October"/>
    <s v="2013"/>
  </r>
  <r>
    <x v="4"/>
    <s v="Canada"/>
    <s v="VTT"/>
    <s v="High"/>
    <n v="1496"/>
    <n v="250"/>
    <n v="300"/>
    <n v="448800"/>
    <n v="62832"/>
    <n v="385968"/>
    <n v="374000"/>
    <n v="11968"/>
    <n v="335792.16"/>
    <n v="50175.840000000026"/>
    <n v="0.14942528735632193"/>
    <d v="2014-10-01T00:00:00"/>
    <n v="10"/>
    <s v="October"/>
    <s v="2014"/>
  </r>
  <r>
    <x v="4"/>
    <s v="United States of America"/>
    <s v="VTT"/>
    <s v="High"/>
    <n v="1010"/>
    <n v="250"/>
    <n v="300"/>
    <n v="303000"/>
    <n v="42420"/>
    <n v="260580"/>
    <n v="252500"/>
    <n v="8080"/>
    <n v="297061.19999999995"/>
    <n v="-36481.199999999953"/>
    <n v="-0.12280701754385952"/>
    <d v="2014-10-01T00:00:00"/>
    <n v="10"/>
    <s v="October"/>
    <s v="2014"/>
  </r>
  <r>
    <x v="0"/>
    <s v="France"/>
    <s v="VTT"/>
    <s v="High"/>
    <n v="1281"/>
    <n v="250"/>
    <n v="350"/>
    <n v="448350"/>
    <n v="62769"/>
    <n v="385581"/>
    <n v="333060"/>
    <n v="52521"/>
    <n v="401004.24"/>
    <n v="-15423.239999999991"/>
    <n v="-3.8461538461538436E-2"/>
    <d v="2013-12-01T00:00:00"/>
    <n v="12"/>
    <s v="December"/>
    <s v="2013"/>
  </r>
  <r>
    <x v="4"/>
    <s v="Canada"/>
    <s v="Amarilla"/>
    <s v="High"/>
    <n v="888"/>
    <n v="260"/>
    <n v="300"/>
    <n v="266400"/>
    <n v="37296"/>
    <n v="229104"/>
    <n v="222000"/>
    <n v="7104"/>
    <n v="252014.40000000002"/>
    <n v="-22910.400000000023"/>
    <n v="-9.0909090909090995E-2"/>
    <d v="2014-03-01T00:00:00"/>
    <n v="3"/>
    <s v="March"/>
    <s v="2014"/>
  </r>
  <r>
    <x v="3"/>
    <s v="United States of America"/>
    <s v="Amarilla"/>
    <s v="High"/>
    <n v="2844"/>
    <n v="260"/>
    <n v="125"/>
    <n v="355500"/>
    <n v="49770"/>
    <n v="305730"/>
    <n v="341280"/>
    <n v="-35550"/>
    <n v="308787.3"/>
    <n v="-3057.2999999999884"/>
    <n v="-9.9009900990098629E-3"/>
    <d v="2014-05-01T00:00:00"/>
    <n v="5"/>
    <s v="May"/>
    <s v="2014"/>
  </r>
  <r>
    <x v="2"/>
    <s v="France"/>
    <s v="Amarilla"/>
    <s v="High"/>
    <n v="2475"/>
    <n v="260"/>
    <n v="12"/>
    <n v="29700"/>
    <n v="4158"/>
    <n v="25542"/>
    <n v="7425"/>
    <n v="18117"/>
    <n v="27840.780000000002"/>
    <n v="-2298.7800000000025"/>
    <n v="-8.2568807339449629E-2"/>
    <d v="2014-08-01T00:00:00"/>
    <n v="8"/>
    <s v="August"/>
    <s v="2014"/>
  </r>
  <r>
    <x v="1"/>
    <s v="Canada"/>
    <s v="Amarilla"/>
    <s v="High"/>
    <n v="1743"/>
    <n v="260"/>
    <n v="15"/>
    <n v="26145"/>
    <n v="3660.3"/>
    <n v="22484.7"/>
    <n v="17430"/>
    <n v="5054.7000000000007"/>
    <n v="23833.782000000003"/>
    <n v="-1349.0820000000022"/>
    <n v="-5.6603773584905745E-2"/>
    <d v="2013-10-01T00:00:00"/>
    <n v="10"/>
    <s v="October"/>
    <s v="2013"/>
  </r>
  <r>
    <x v="2"/>
    <s v="United States of America"/>
    <s v="Amarilla"/>
    <s v="High"/>
    <n v="2914"/>
    <n v="260"/>
    <n v="12"/>
    <n v="34968"/>
    <n v="4895.5200000000004"/>
    <n v="30072.48"/>
    <n v="8742"/>
    <n v="21330.48"/>
    <n v="32177.553600000003"/>
    <n v="-2105.0736000000034"/>
    <n v="-6.5420560747663656E-2"/>
    <d v="2014-10-01T00:00:00"/>
    <n v="10"/>
    <s v="October"/>
    <s v="2014"/>
  </r>
  <r>
    <x v="0"/>
    <s v="France"/>
    <s v="Amarilla"/>
    <s v="High"/>
    <n v="1731"/>
    <n v="260"/>
    <n v="7"/>
    <n v="12117"/>
    <n v="1696.38"/>
    <n v="10420.619999999999"/>
    <n v="8655"/>
    <n v="1765.619999999999"/>
    <n v="9482.7641999999996"/>
    <n v="937.85579999999936"/>
    <n v="9.8901098901098841E-2"/>
    <d v="2014-10-01T00:00:00"/>
    <n v="10"/>
    <s v="October"/>
    <s v="2014"/>
  </r>
  <r>
    <x v="0"/>
    <s v="Mexico"/>
    <s v="Amarilla"/>
    <s v="High"/>
    <n v="1727"/>
    <n v="260"/>
    <n v="7"/>
    <n v="12089"/>
    <n v="1692.46"/>
    <n v="10396.540000000001"/>
    <n v="8635"/>
    <n v="1761.5400000000009"/>
    <n v="8941.0244000000002"/>
    <n v="1455.5156000000006"/>
    <n v="0.16279069767441867"/>
    <d v="2013-10-01T00:00:00"/>
    <n v="10"/>
    <s v="October"/>
    <s v="2013"/>
  </r>
  <r>
    <x v="1"/>
    <s v="Mexico"/>
    <s v="Amarilla"/>
    <s v="High"/>
    <n v="1870"/>
    <n v="260"/>
    <n v="15"/>
    <n v="28050"/>
    <n v="3927"/>
    <n v="24123"/>
    <n v="18700"/>
    <n v="5423"/>
    <n v="25811.61"/>
    <n v="-1688.6100000000006"/>
    <n v="-6.5420560747663573E-2"/>
    <d v="2013-11-01T00:00:00"/>
    <n v="11"/>
    <s v="November"/>
    <s v="2013"/>
  </r>
  <r>
    <x v="3"/>
    <s v="France"/>
    <s v="Carretera"/>
    <s v="High"/>
    <n v="1174"/>
    <n v="3"/>
    <n v="125"/>
    <n v="146750"/>
    <n v="22012.5"/>
    <n v="124737.5"/>
    <n v="140880"/>
    <n v="-16142.5"/>
    <n v="120995.375"/>
    <n v="3742.125"/>
    <n v="3.0927835051546393E-2"/>
    <d v="2014-08-01T00:00:00"/>
    <n v="8"/>
    <s v="August"/>
    <s v="2014"/>
  </r>
  <r>
    <x v="3"/>
    <s v="Germany"/>
    <s v="Carretera"/>
    <s v="High"/>
    <n v="2767"/>
    <n v="3"/>
    <n v="125"/>
    <n v="345875"/>
    <n v="51881.25"/>
    <n v="293993.75"/>
    <n v="332040"/>
    <n v="-38046.25"/>
    <n v="273414.1875"/>
    <n v="20579.5625"/>
    <n v="7.5268817204301078E-2"/>
    <d v="2014-08-01T00:00:00"/>
    <n v="8"/>
    <s v="August"/>
    <s v="2014"/>
  </r>
  <r>
    <x v="3"/>
    <s v="Germany"/>
    <s v="Carretera"/>
    <s v="High"/>
    <n v="1085"/>
    <n v="3"/>
    <n v="125"/>
    <n v="135625"/>
    <n v="20343.75"/>
    <n v="115281.25"/>
    <n v="130200"/>
    <n v="-14918.75"/>
    <n v="97989.0625"/>
    <n v="17292.1875"/>
    <n v="0.17647058823529413"/>
    <d v="2014-10-01T00:00:00"/>
    <n v="10"/>
    <s v="October"/>
    <s v="2014"/>
  </r>
  <r>
    <x v="4"/>
    <s v="Mexico"/>
    <s v="Montana"/>
    <s v="High"/>
    <n v="546"/>
    <n v="5"/>
    <n v="300"/>
    <n v="163800"/>
    <n v="24570"/>
    <n v="139230"/>
    <n v="136500"/>
    <n v="2730"/>
    <n v="128091.6"/>
    <n v="11138.399999999994"/>
    <n v="8.6956521739130391E-2"/>
    <d v="2014-10-01T00:00:00"/>
    <n v="10"/>
    <s v="October"/>
    <s v="2014"/>
  </r>
  <r>
    <x v="0"/>
    <s v="Germany"/>
    <s v="Paseo"/>
    <s v="High"/>
    <n v="1158"/>
    <n v="10"/>
    <n v="20"/>
    <n v="23160"/>
    <n v="3474"/>
    <n v="19686"/>
    <n v="11580"/>
    <n v="8106"/>
    <n v="18898.559999999998"/>
    <n v="787.44000000000233"/>
    <n v="4.1666666666666796E-2"/>
    <d v="2014-03-01T00:00:00"/>
    <n v="3"/>
    <s v="March"/>
    <s v="2014"/>
  </r>
  <r>
    <x v="1"/>
    <s v="Canada"/>
    <s v="Paseo"/>
    <s v="High"/>
    <n v="1614"/>
    <n v="10"/>
    <n v="15"/>
    <n v="24210"/>
    <n v="3631.5"/>
    <n v="20578.5"/>
    <n v="16140"/>
    <n v="4438.5"/>
    <n v="18520.650000000001"/>
    <n v="2057.8499999999985"/>
    <n v="0.11111111111111102"/>
    <d v="2014-04-01T00:00:00"/>
    <n v="4"/>
    <s v="April"/>
    <s v="2014"/>
  </r>
  <r>
    <x v="0"/>
    <s v="Mexico"/>
    <s v="Paseo"/>
    <s v="High"/>
    <n v="2535"/>
    <n v="10"/>
    <n v="7"/>
    <n v="17745"/>
    <n v="2661.75"/>
    <n v="15083.25"/>
    <n v="12675"/>
    <n v="2408.25"/>
    <n v="13876.59"/>
    <n v="1206.6599999999999"/>
    <n v="8.6956521739130418E-2"/>
    <d v="2014-04-01T00:00:00"/>
    <n v="4"/>
    <s v="April"/>
    <s v="2014"/>
  </r>
  <r>
    <x v="0"/>
    <s v="Mexico"/>
    <s v="Paseo"/>
    <s v="High"/>
    <n v="2851"/>
    <n v="10"/>
    <n v="350"/>
    <n v="997850"/>
    <n v="149677.5"/>
    <n v="848172.5"/>
    <n v="741260"/>
    <n v="106912.5"/>
    <n v="754873.52500000002"/>
    <n v="93298.974999999977"/>
    <n v="0.1235955056179775"/>
    <d v="2014-05-01T00:00:00"/>
    <n v="5"/>
    <s v="May"/>
    <s v="2014"/>
  </r>
  <r>
    <x v="1"/>
    <s v="Canada"/>
    <s v="Paseo"/>
    <s v="High"/>
    <n v="2559"/>
    <n v="10"/>
    <n v="15"/>
    <n v="38385"/>
    <n v="5757.75"/>
    <n v="32627.25"/>
    <n v="25590"/>
    <n v="7037.25"/>
    <n v="29038.252499999999"/>
    <n v="3588.9975000000013"/>
    <n v="0.12359550561797758"/>
    <d v="2014-08-01T00:00:00"/>
    <n v="8"/>
    <s v="August"/>
    <s v="2014"/>
  </r>
  <r>
    <x v="0"/>
    <s v="United States of America"/>
    <s v="Paseo"/>
    <s v="High"/>
    <n v="267"/>
    <n v="10"/>
    <n v="20"/>
    <n v="5340"/>
    <n v="801"/>
    <n v="4539"/>
    <n v="2670"/>
    <n v="1869"/>
    <n v="4902.12"/>
    <n v="-363.11999999999989"/>
    <n v="-7.4074074074074056E-2"/>
    <d v="2013-10-01T00:00:00"/>
    <n v="10"/>
    <s v="October"/>
    <s v="2013"/>
  </r>
  <r>
    <x v="3"/>
    <s v="Germany"/>
    <s v="Paseo"/>
    <s v="High"/>
    <n v="1085"/>
    <n v="10"/>
    <n v="125"/>
    <n v="135625"/>
    <n v="20343.75"/>
    <n v="115281.25"/>
    <n v="130200"/>
    <n v="-14918.75"/>
    <n v="108364.375"/>
    <n v="6916.875"/>
    <n v="6.3829787234042548E-2"/>
    <d v="2014-10-01T00:00:00"/>
    <n v="10"/>
    <s v="October"/>
    <s v="2014"/>
  </r>
  <r>
    <x v="1"/>
    <s v="Germany"/>
    <s v="Paseo"/>
    <s v="High"/>
    <n v="1175"/>
    <n v="10"/>
    <n v="15"/>
    <n v="17625"/>
    <n v="2643.75"/>
    <n v="14981.25"/>
    <n v="11750"/>
    <n v="3231.25"/>
    <n v="16629.1875"/>
    <n v="-1647.9375"/>
    <n v="-9.90990990990991E-2"/>
    <d v="2014-10-01T00:00:00"/>
    <n v="10"/>
    <s v="October"/>
    <s v="2014"/>
  </r>
  <r>
    <x v="0"/>
    <s v="United States of America"/>
    <s v="Paseo"/>
    <s v="High"/>
    <n v="2007"/>
    <n v="10"/>
    <n v="350"/>
    <n v="702450"/>
    <n v="105367.5"/>
    <n v="597082.5"/>
    <n v="521820"/>
    <n v="75262.5"/>
    <n v="507520.125"/>
    <n v="89562.375"/>
    <n v="0.17647058823529413"/>
    <d v="2013-11-01T00:00:00"/>
    <n v="11"/>
    <s v="November"/>
    <s v="2013"/>
  </r>
  <r>
    <x v="0"/>
    <s v="Mexico"/>
    <s v="Paseo"/>
    <s v="High"/>
    <n v="2151"/>
    <n v="10"/>
    <n v="350"/>
    <n v="752850"/>
    <n v="112927.5"/>
    <n v="639922.5"/>
    <n v="559260"/>
    <n v="80662.5"/>
    <n v="563131.80000000005"/>
    <n v="76790.699999999953"/>
    <n v="0.13636363636363627"/>
    <d v="2013-11-01T00:00:00"/>
    <n v="11"/>
    <s v="November"/>
    <s v="2013"/>
  </r>
  <r>
    <x v="2"/>
    <s v="United States of America"/>
    <s v="Paseo"/>
    <s v="High"/>
    <n v="914"/>
    <n v="10"/>
    <n v="12"/>
    <n v="10968"/>
    <n v="1645.2"/>
    <n v="9322.7999999999993"/>
    <n v="2742"/>
    <n v="6580.7999999999993"/>
    <n v="9043.1159999999982"/>
    <n v="279.68400000000111"/>
    <n v="3.0927835051546521E-2"/>
    <d v="2014-12-01T00:00:00"/>
    <n v="12"/>
    <s v="December"/>
    <s v="2014"/>
  </r>
  <r>
    <x v="0"/>
    <s v="France"/>
    <s v="Paseo"/>
    <s v="High"/>
    <n v="293"/>
    <n v="10"/>
    <n v="20"/>
    <n v="5860"/>
    <n v="879"/>
    <n v="4981"/>
    <n v="2930"/>
    <n v="2051"/>
    <n v="5180.24"/>
    <n v="-199.23999999999978"/>
    <n v="-3.8461538461538422E-2"/>
    <d v="2014-12-01T00:00:00"/>
    <n v="12"/>
    <s v="December"/>
    <s v="2014"/>
  </r>
  <r>
    <x v="2"/>
    <s v="Mexico"/>
    <s v="Velo"/>
    <s v="High"/>
    <n v="500"/>
    <n v="120"/>
    <n v="12"/>
    <n v="6000"/>
    <n v="900"/>
    <n v="5100"/>
    <n v="1500"/>
    <n v="3600"/>
    <n v="5253"/>
    <n v="-153"/>
    <n v="-2.9126213592233011E-2"/>
    <d v="2014-03-01T00:00:00"/>
    <n v="3"/>
    <s v="March"/>
    <s v="2014"/>
  </r>
  <r>
    <x v="1"/>
    <s v="France"/>
    <s v="Velo"/>
    <s v="High"/>
    <n v="2826"/>
    <n v="120"/>
    <n v="15"/>
    <n v="42390"/>
    <n v="6358.5"/>
    <n v="36031.5"/>
    <n v="28260"/>
    <n v="7771.5"/>
    <n v="39994.965000000004"/>
    <n v="-3963.4650000000038"/>
    <n v="-9.9099099099099183E-2"/>
    <d v="2014-05-01T00:00:00"/>
    <n v="5"/>
    <s v="May"/>
    <s v="2014"/>
  </r>
  <r>
    <x v="3"/>
    <s v="France"/>
    <s v="Velo"/>
    <s v="High"/>
    <n v="663"/>
    <n v="120"/>
    <n v="125"/>
    <n v="82875"/>
    <n v="12431.25"/>
    <n v="70443.75"/>
    <n v="79560"/>
    <n v="-9116.25"/>
    <n v="63399.375"/>
    <n v="7044.375"/>
    <n v="0.1111111111111111"/>
    <d v="2014-09-01T00:00:00"/>
    <n v="9"/>
    <s v="September"/>
    <s v="2014"/>
  </r>
  <r>
    <x v="4"/>
    <s v="United States of America"/>
    <s v="Velo"/>
    <s v="High"/>
    <n v="2574"/>
    <n v="120"/>
    <n v="300"/>
    <n v="772200"/>
    <n v="115830"/>
    <n v="656370"/>
    <n v="643500"/>
    <n v="12870"/>
    <n v="722007.00000000012"/>
    <n v="-65637.000000000116"/>
    <n v="-9.090909090909105E-2"/>
    <d v="2013-11-01T00:00:00"/>
    <n v="11"/>
    <s v="November"/>
    <s v="2013"/>
  </r>
  <r>
    <x v="3"/>
    <s v="United States of America"/>
    <s v="Velo"/>
    <s v="High"/>
    <n v="2438"/>
    <n v="120"/>
    <n v="125"/>
    <n v="304750"/>
    <n v="45712.5"/>
    <n v="259037.5"/>
    <n v="292560"/>
    <n v="-33522.5"/>
    <n v="266808.625"/>
    <n v="-7771.125"/>
    <n v="-2.9126213592233011E-2"/>
    <d v="2013-12-01T00:00:00"/>
    <n v="12"/>
    <s v="December"/>
    <s v="2013"/>
  </r>
  <r>
    <x v="2"/>
    <s v="United States of America"/>
    <s v="Velo"/>
    <s v="High"/>
    <n v="914"/>
    <n v="120"/>
    <n v="12"/>
    <n v="10968"/>
    <n v="1645.2"/>
    <n v="9322.7999999999993"/>
    <n v="2742"/>
    <n v="6580.7999999999993"/>
    <n v="9975.3960000000006"/>
    <n v="-652.59600000000137"/>
    <n v="-6.5420560747663684E-2"/>
    <d v="2014-12-01T00:00:00"/>
    <n v="12"/>
    <s v="December"/>
    <s v="2014"/>
  </r>
  <r>
    <x v="0"/>
    <s v="Canada"/>
    <s v="VTT"/>
    <s v="High"/>
    <n v="865.5"/>
    <n v="250"/>
    <n v="20"/>
    <n v="17310"/>
    <n v="2596.5"/>
    <n v="14713.5"/>
    <n v="8655"/>
    <n v="6058.5"/>
    <n v="13830.689999999999"/>
    <n v="882.81000000000131"/>
    <n v="6.3829787234042659E-2"/>
    <d v="2014-07-01T00:00:00"/>
    <n v="7"/>
    <s v="July"/>
    <s v="2014"/>
  </r>
  <r>
    <x v="1"/>
    <s v="Germany"/>
    <s v="VTT"/>
    <s v="High"/>
    <n v="492"/>
    <n v="250"/>
    <n v="15"/>
    <n v="7380"/>
    <n v="1107"/>
    <n v="6273"/>
    <n v="4920"/>
    <n v="1353"/>
    <n v="6837.5700000000006"/>
    <n v="-564.57000000000062"/>
    <n v="-8.2568807339449629E-2"/>
    <d v="2014-07-01T00:00:00"/>
    <n v="7"/>
    <s v="July"/>
    <s v="2014"/>
  </r>
  <r>
    <x v="0"/>
    <s v="United States of America"/>
    <s v="VTT"/>
    <s v="High"/>
    <n v="267"/>
    <n v="250"/>
    <n v="20"/>
    <n v="5340"/>
    <n v="801"/>
    <n v="4539"/>
    <n v="2670"/>
    <n v="1869"/>
    <n v="3903.54"/>
    <n v="635.46"/>
    <n v="0.16279069767441862"/>
    <d v="2013-10-01T00:00:00"/>
    <n v="10"/>
    <s v="October"/>
    <s v="2013"/>
  </r>
  <r>
    <x v="1"/>
    <s v="Germany"/>
    <s v="VTT"/>
    <s v="High"/>
    <n v="1175"/>
    <n v="250"/>
    <n v="15"/>
    <n v="17625"/>
    <n v="2643.75"/>
    <n v="14981.25"/>
    <n v="11750"/>
    <n v="3231.25"/>
    <n v="16928.8125"/>
    <n v="-1947.5625"/>
    <n v="-0.11504424778761062"/>
    <d v="2014-10-01T00:00:00"/>
    <n v="10"/>
    <s v="October"/>
    <s v="2014"/>
  </r>
  <r>
    <x v="3"/>
    <s v="Canada"/>
    <s v="VTT"/>
    <s v="High"/>
    <n v="2954"/>
    <n v="250"/>
    <n v="125"/>
    <n v="369250"/>
    <n v="55387.5"/>
    <n v="313862.5"/>
    <n v="354480"/>
    <n v="-40617.5"/>
    <n v="345248.75"/>
    <n v="-31386.25"/>
    <n v="-9.0909090909090912E-2"/>
    <d v="2013-11-01T00:00:00"/>
    <n v="11"/>
    <s v="November"/>
    <s v="2013"/>
  </r>
  <r>
    <x v="3"/>
    <s v="Germany"/>
    <s v="VTT"/>
    <s v="High"/>
    <n v="552"/>
    <n v="250"/>
    <n v="125"/>
    <n v="69000"/>
    <n v="10350"/>
    <n v="58650"/>
    <n v="66240"/>
    <n v="-7590"/>
    <n v="65688"/>
    <n v="-7038"/>
    <n v="-0.10714285714285714"/>
    <d v="2014-11-01T00:00:00"/>
    <n v="11"/>
    <s v="November"/>
    <s v="2014"/>
  </r>
  <r>
    <x v="0"/>
    <s v="France"/>
    <s v="VTT"/>
    <s v="High"/>
    <n v="293"/>
    <n v="250"/>
    <n v="20"/>
    <n v="5860"/>
    <n v="879"/>
    <n v="4981"/>
    <n v="2930"/>
    <n v="2051"/>
    <n v="4881.38"/>
    <n v="99.619999999999891"/>
    <n v="2.04081632653061E-2"/>
    <d v="2014-12-01T00:00:00"/>
    <n v="12"/>
    <s v="December"/>
    <s v="2014"/>
  </r>
  <r>
    <x v="4"/>
    <s v="France"/>
    <s v="Amarilla"/>
    <s v="High"/>
    <n v="2475"/>
    <n v="260"/>
    <n v="300"/>
    <n v="742500"/>
    <n v="111375"/>
    <n v="631125"/>
    <n v="618750"/>
    <n v="12375"/>
    <n v="568012.5"/>
    <n v="63112.5"/>
    <n v="0.1111111111111111"/>
    <d v="2014-03-01T00:00:00"/>
    <n v="3"/>
    <s v="March"/>
    <s v="2014"/>
  </r>
  <r>
    <x v="4"/>
    <s v="Mexico"/>
    <s v="Amarilla"/>
    <s v="High"/>
    <n v="546"/>
    <n v="260"/>
    <n v="300"/>
    <n v="163800"/>
    <n v="24570"/>
    <n v="139230"/>
    <n v="136500"/>
    <n v="2730"/>
    <n v="160114.5"/>
    <n v="-20884.5"/>
    <n v="-0.13043478260869565"/>
    <d v="2014-10-01T00:00:00"/>
    <n v="10"/>
    <s v="October"/>
    <s v="2014"/>
  </r>
  <r>
    <x v="0"/>
    <s v="Mexico"/>
    <s v="Montana"/>
    <s v="High"/>
    <n v="1368"/>
    <n v="5"/>
    <n v="7"/>
    <n v="9576"/>
    <n v="1436.4"/>
    <n v="8139.6"/>
    <n v="6840"/>
    <n v="1299.6000000000004"/>
    <n v="7488.4320000000007"/>
    <n v="651.16799999999967"/>
    <n v="8.6956521739130377E-2"/>
    <d v="2014-02-01T00:00:00"/>
    <n v="2"/>
    <s v="February"/>
    <s v="2014"/>
  </r>
  <r>
    <x v="0"/>
    <s v="Canada"/>
    <s v="Paseo"/>
    <s v="High"/>
    <n v="723"/>
    <n v="10"/>
    <n v="7"/>
    <n v="5061"/>
    <n v="759.15000000000009"/>
    <n v="4301.8500000000004"/>
    <n v="3615"/>
    <n v="686.85000000000014"/>
    <n v="4775.0535000000009"/>
    <n v="-473.20350000000053"/>
    <n v="-9.9099099099099197E-2"/>
    <d v="2014-04-01T00:00:00"/>
    <n v="4"/>
    <s v="April"/>
    <s v="2014"/>
  </r>
  <r>
    <x v="2"/>
    <s v="United States of America"/>
    <s v="VTT"/>
    <s v="High"/>
    <n v="1806"/>
    <n v="250"/>
    <n v="12"/>
    <n v="21672"/>
    <n v="3250.8"/>
    <n v="18421.2"/>
    <n v="5418"/>
    <n v="13003.2"/>
    <n v="16394.868000000002"/>
    <n v="2026.3319999999985"/>
    <n v="0.12359550561797743"/>
    <d v="2014-05-01T00:00:00"/>
    <n v="5"/>
    <s v="May"/>
    <s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A51A9-FA2B-4B6F-93B5-17DB32F2F7E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9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  <pivotField numFmtId="44" showAll="0"/>
    <pivotField numFmtId="44" showAll="0"/>
    <pivotField dataField="1" numFmtId="44" showAll="0"/>
    <pivotField dataField="1" numFmtId="44" showAll="0"/>
    <pivotField numFmtId="9" showAll="0"/>
    <pivotField numFmtId="14" showAll="0"/>
    <pivotField numFmtI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44"/>
    <dataField name="Sum of Budget" fld="12" baseField="0" baseItem="0" numFmtId="44"/>
    <dataField name="Sum of Variance" fld="1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S701" totalsRowShown="0" headerRowDxfId="17" dataDxfId="16" headerRowCellStyle="Currency" dataCellStyle="Currency">
  <autoFilter ref="A1:S701" xr:uid="{00000000-0009-0000-0100-000001000000}"/>
  <tableColumns count="19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5" dataCellStyle="Currency"/>
    <tableColumn id="19" xr3:uid="{00000000-0010-0000-0000-000013000000}" name="Discount Band" dataDxfId="14" dataCellStyle="Currency"/>
    <tableColumn id="6" xr3:uid="{00000000-0010-0000-0000-000006000000}" name="Units Sold"/>
    <tableColumn id="7" xr3:uid="{00000000-0010-0000-0000-000007000000}" name="Manufacturing Price" dataDxfId="13" dataCellStyle="Currency"/>
    <tableColumn id="8" xr3:uid="{00000000-0010-0000-0000-000008000000}" name="Sale Price" dataDxfId="12" dataCellStyle="Currency"/>
    <tableColumn id="9" xr3:uid="{00000000-0010-0000-0000-000009000000}" name="Gross Sales" dataDxfId="11" dataCellStyle="Currency"/>
    <tableColumn id="10" xr3:uid="{00000000-0010-0000-0000-00000A000000}" name="Discounts" dataDxfId="10" dataCellStyle="Currency"/>
    <tableColumn id="11" xr3:uid="{00000000-0010-0000-0000-00000B000000}" name="Sales" dataDxfId="9" dataCellStyle="Currency"/>
    <tableColumn id="12" xr3:uid="{00000000-0010-0000-0000-00000C000000}" name="COGS" dataDxfId="8" dataCellStyle="Currency"/>
    <tableColumn id="13" xr3:uid="{00000000-0010-0000-0000-00000D000000}" name="Profit" dataDxfId="7" dataCellStyle="Currency"/>
    <tableColumn id="3" xr3:uid="{5CE1FAF1-1A40-418E-8114-C98F4CBB6514}" name="Budget" dataDxfId="2" dataCellStyle="Currency"/>
    <tableColumn id="14" xr3:uid="{9C7A8B2D-1CA5-4BE9-8476-462C09EAA7D9}" name="Variance" dataDxfId="1" dataCellStyle="Currency">
      <calculatedColumnFormula>financials[[#This Row],[Sales]]-financials[[#This Row],[Budget]]</calculatedColumnFormula>
    </tableColumn>
    <tableColumn id="5" xr3:uid="{2CC107DE-8386-4E33-A69A-9871E1E23D24}" name="Variance %" dataDxfId="0" dataCellStyle="Percent">
      <calculatedColumnFormula>(financials[[#This Row],[Sales]]-financials[[#This Row],[Budget]])/financials[[#This Row],[Budget]]</calculatedColumnFormula>
    </tableColumn>
    <tableColumn id="4" xr3:uid="{00000000-0010-0000-0000-000004000000}" name="Date" dataDxfId="6" dataCellStyle="Currency"/>
    <tableColumn id="17" xr3:uid="{00000000-0010-0000-0000-000011000000}" name="Month Number" dataDxfId="5" dataCellStyle="Currency"/>
    <tableColumn id="18" xr3:uid="{00000000-0010-0000-0000-000012000000}" name="Month Name" dataDxfId="4" dataCellStyle="Currency"/>
    <tableColumn id="20" xr3:uid="{00000000-0010-0000-0000-000014000000}" name="Year" dataDxfId="3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1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4" width="18.42578125" customWidth="1"/>
    <col min="15" max="15" width="18.42578125" style="10" customWidth="1"/>
    <col min="16" max="16" width="11.5703125" style="4" bestFit="1" customWidth="1"/>
    <col min="17" max="17" width="17.140625" style="9" bestFit="1" customWidth="1"/>
    <col min="18" max="18" width="16.5703125" bestFit="1" customWidth="1"/>
    <col min="19" max="19" width="7.5703125" style="2" bestFit="1" customWidth="1"/>
  </cols>
  <sheetData>
    <row r="1" spans="1:19" x14ac:dyDescent="0.25">
      <c r="A1" t="s">
        <v>6</v>
      </c>
      <c r="B1" t="s">
        <v>35</v>
      </c>
      <c r="C1" s="5" t="s">
        <v>36</v>
      </c>
      <c r="D1" s="5" t="s">
        <v>43</v>
      </c>
      <c r="E1" t="s">
        <v>4</v>
      </c>
      <c r="F1" s="1" t="s">
        <v>5</v>
      </c>
      <c r="G1" s="1" t="s">
        <v>34</v>
      </c>
      <c r="H1" s="1" t="s">
        <v>1</v>
      </c>
      <c r="I1" s="1" t="s">
        <v>2</v>
      </c>
      <c r="J1" s="1" t="s">
        <v>49</v>
      </c>
      <c r="K1" s="1" t="s">
        <v>3</v>
      </c>
      <c r="L1" s="1" t="s">
        <v>33</v>
      </c>
      <c r="M1" s="1" t="s">
        <v>50</v>
      </c>
      <c r="N1" s="1" t="s">
        <v>51</v>
      </c>
      <c r="O1" s="10" t="s">
        <v>52</v>
      </c>
      <c r="P1" s="6" t="s">
        <v>12</v>
      </c>
      <c r="Q1" s="8" t="s">
        <v>13</v>
      </c>
      <c r="R1" s="5" t="s">
        <v>48</v>
      </c>
      <c r="S1" s="7" t="s">
        <v>0</v>
      </c>
    </row>
    <row r="2" spans="1:19" x14ac:dyDescent="0.25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1">
        <v>36254.400000000001</v>
      </c>
      <c r="N2" s="1">
        <f>financials[[#This Row],[Sales]]-financials[[#This Row],[Budget]]</f>
        <v>-3884.4000000000015</v>
      </c>
      <c r="O2" s="10">
        <f>(financials[[#This Row],[Sales]]-financials[[#This Row],[Budget]])/financials[[#This Row],[Budget]]</f>
        <v>-0.10714285714285718</v>
      </c>
      <c r="P2" s="6">
        <v>41640</v>
      </c>
      <c r="Q2" s="8">
        <v>1</v>
      </c>
      <c r="R2" s="5" t="s">
        <v>21</v>
      </c>
      <c r="S2" s="7" t="s">
        <v>15</v>
      </c>
    </row>
    <row r="3" spans="1:19" x14ac:dyDescent="0.25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1">
        <v>26420</v>
      </c>
      <c r="N3" s="1">
        <f>financials[[#This Row],[Sales]]-financials[[#This Row],[Budget]]</f>
        <v>0</v>
      </c>
      <c r="O3" s="10">
        <f>(financials[[#This Row],[Sales]]-financials[[#This Row],[Budget]])/financials[[#This Row],[Budget]]</f>
        <v>0</v>
      </c>
      <c r="P3" s="6">
        <v>41640</v>
      </c>
      <c r="Q3" s="8">
        <v>1</v>
      </c>
      <c r="R3" s="5" t="s">
        <v>21</v>
      </c>
      <c r="S3" s="7" t="s">
        <v>15</v>
      </c>
    </row>
    <row r="4" spans="1:19" x14ac:dyDescent="0.25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1">
        <v>29076.3</v>
      </c>
      <c r="N4" s="1">
        <f>financials[[#This Row],[Sales]]-financials[[#This Row],[Budget]]</f>
        <v>3593.7000000000007</v>
      </c>
      <c r="O4" s="10">
        <f>(financials[[#This Row],[Sales]]-financials[[#This Row],[Budget]])/financials[[#This Row],[Budget]]</f>
        <v>0.12359550561797755</v>
      </c>
      <c r="P4" s="6">
        <v>41791</v>
      </c>
      <c r="Q4" s="8">
        <v>6</v>
      </c>
      <c r="R4" s="5" t="s">
        <v>26</v>
      </c>
      <c r="S4" s="7" t="s">
        <v>15</v>
      </c>
    </row>
    <row r="5" spans="1:19" x14ac:dyDescent="0.25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1">
        <v>12787.199999999999</v>
      </c>
      <c r="N5" s="1">
        <f>financials[[#This Row],[Sales]]-financials[[#This Row],[Budget]]</f>
        <v>532.80000000000109</v>
      </c>
      <c r="O5" s="10">
        <f>(financials[[#This Row],[Sales]]-financials[[#This Row],[Budget]])/financials[[#This Row],[Budget]]</f>
        <v>4.1666666666666755E-2</v>
      </c>
      <c r="P5" s="6">
        <v>41791</v>
      </c>
      <c r="Q5" s="8">
        <v>6</v>
      </c>
      <c r="R5" s="5" t="s">
        <v>26</v>
      </c>
      <c r="S5" s="7" t="s">
        <v>15</v>
      </c>
    </row>
    <row r="6" spans="1:19" x14ac:dyDescent="0.25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1">
        <v>37050</v>
      </c>
      <c r="N6" s="1">
        <f>financials[[#This Row],[Sales]]-financials[[#This Row],[Budget]]</f>
        <v>0</v>
      </c>
      <c r="O6" s="10">
        <f>(financials[[#This Row],[Sales]]-financials[[#This Row],[Budget]])/financials[[#This Row],[Budget]]</f>
        <v>0</v>
      </c>
      <c r="P6" s="6">
        <v>41791</v>
      </c>
      <c r="Q6" s="8">
        <v>6</v>
      </c>
      <c r="R6" s="5" t="s">
        <v>26</v>
      </c>
      <c r="S6" s="7" t="s">
        <v>15</v>
      </c>
    </row>
    <row r="7" spans="1:19" x14ac:dyDescent="0.25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1">
        <v>566618.5</v>
      </c>
      <c r="N7" s="1">
        <f>financials[[#This Row],[Sales]]-financials[[#This Row],[Budget]]</f>
        <v>-37068.5</v>
      </c>
      <c r="O7" s="10">
        <f>(financials[[#This Row],[Sales]]-financials[[#This Row],[Budget]])/financials[[#This Row],[Budget]]</f>
        <v>-6.5420560747663545E-2</v>
      </c>
      <c r="P7" s="6">
        <v>41974</v>
      </c>
      <c r="Q7" s="8">
        <v>12</v>
      </c>
      <c r="R7" s="5" t="s">
        <v>32</v>
      </c>
      <c r="S7" s="7" t="s">
        <v>15</v>
      </c>
    </row>
    <row r="8" spans="1:19" x14ac:dyDescent="0.25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1">
        <v>12571.65</v>
      </c>
      <c r="N8" s="1">
        <f>financials[[#This Row],[Sales]]-financials[[#This Row],[Budget]]</f>
        <v>1243.3500000000004</v>
      </c>
      <c r="O8" s="10">
        <f>(financials[[#This Row],[Sales]]-financials[[#This Row],[Budget]])/financials[[#This Row],[Budget]]</f>
        <v>9.8901098901098938E-2</v>
      </c>
      <c r="P8" s="6">
        <v>41699</v>
      </c>
      <c r="Q8" s="8">
        <v>3</v>
      </c>
      <c r="R8" s="5" t="s">
        <v>23</v>
      </c>
      <c r="S8" s="7" t="s">
        <v>15</v>
      </c>
    </row>
    <row r="9" spans="1:19" x14ac:dyDescent="0.25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1">
        <v>26287.919999999998</v>
      </c>
      <c r="N9" s="1">
        <f>financials[[#This Row],[Sales]]-financials[[#This Row],[Budget]]</f>
        <v>3928.0800000000017</v>
      </c>
      <c r="O9" s="10">
        <f>(financials[[#This Row],[Sales]]-financials[[#This Row],[Budget]])/financials[[#This Row],[Budget]]</f>
        <v>0.14942528735632191</v>
      </c>
      <c r="P9" s="6">
        <v>41791</v>
      </c>
      <c r="Q9" s="8">
        <v>6</v>
      </c>
      <c r="R9" s="5" t="s">
        <v>26</v>
      </c>
      <c r="S9" s="7" t="s">
        <v>15</v>
      </c>
    </row>
    <row r="10" spans="1:19" x14ac:dyDescent="0.25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1">
        <v>32662.799999999999</v>
      </c>
      <c r="N10" s="1">
        <f>financials[[#This Row],[Sales]]-financials[[#This Row],[Budget]]</f>
        <v>5317.2000000000007</v>
      </c>
      <c r="O10" s="10">
        <f>(financials[[#This Row],[Sales]]-financials[[#This Row],[Budget]])/financials[[#This Row],[Budget]]</f>
        <v>0.16279069767441864</v>
      </c>
      <c r="P10" s="6">
        <v>41791</v>
      </c>
      <c r="Q10" s="8">
        <v>6</v>
      </c>
      <c r="R10" s="5" t="s">
        <v>26</v>
      </c>
      <c r="S10" s="7" t="s">
        <v>15</v>
      </c>
    </row>
    <row r="11" spans="1:19" x14ac:dyDescent="0.25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1">
        <v>20764.800000000003</v>
      </c>
      <c r="N11" s="1">
        <f>financials[[#This Row],[Sales]]-financials[[#This Row],[Budget]]</f>
        <v>-2224.8000000000029</v>
      </c>
      <c r="O11" s="10">
        <f>(financials[[#This Row],[Sales]]-financials[[#This Row],[Budget]])/financials[[#This Row],[Budget]]</f>
        <v>-0.10714285714285726</v>
      </c>
      <c r="P11" s="6">
        <v>41791</v>
      </c>
      <c r="Q11" s="8">
        <v>6</v>
      </c>
      <c r="R11" s="5" t="s">
        <v>26</v>
      </c>
      <c r="S11" s="7" t="s">
        <v>15</v>
      </c>
    </row>
    <row r="12" spans="1:19" x14ac:dyDescent="0.25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1">
        <v>40755</v>
      </c>
      <c r="N12" s="1">
        <f>financials[[#This Row],[Sales]]-financials[[#This Row],[Budget]]</f>
        <v>-3705</v>
      </c>
      <c r="O12" s="10">
        <f>(financials[[#This Row],[Sales]]-financials[[#This Row],[Budget]])/financials[[#This Row],[Budget]]</f>
        <v>-9.0909090909090912E-2</v>
      </c>
      <c r="P12" s="6">
        <v>41791</v>
      </c>
      <c r="Q12" s="8">
        <v>6</v>
      </c>
      <c r="R12" s="5" t="s">
        <v>26</v>
      </c>
      <c r="S12" s="7" t="s">
        <v>15</v>
      </c>
    </row>
    <row r="13" spans="1:19" x14ac:dyDescent="0.25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1">
        <v>336519.375</v>
      </c>
      <c r="N13" s="1">
        <f>financials[[#This Row],[Sales]]-financials[[#This Row],[Budget]]</f>
        <v>-3331.875</v>
      </c>
      <c r="O13" s="10">
        <f>(financials[[#This Row],[Sales]]-financials[[#This Row],[Budget]])/financials[[#This Row],[Budget]]</f>
        <v>-9.9009900990099011E-3</v>
      </c>
      <c r="P13" s="6">
        <v>41821</v>
      </c>
      <c r="Q13" s="8">
        <v>7</v>
      </c>
      <c r="R13" s="5" t="s">
        <v>27</v>
      </c>
      <c r="S13" s="7" t="s">
        <v>15</v>
      </c>
    </row>
    <row r="14" spans="1:19" x14ac:dyDescent="0.25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1">
        <v>252912</v>
      </c>
      <c r="N14" s="1">
        <f>financials[[#This Row],[Sales]]-financials[[#This Row],[Budget]]</f>
        <v>34488</v>
      </c>
      <c r="O14" s="10">
        <f>(financials[[#This Row],[Sales]]-financials[[#This Row],[Budget]])/financials[[#This Row],[Budget]]</f>
        <v>0.13636363636363635</v>
      </c>
      <c r="P14" s="6">
        <v>41852</v>
      </c>
      <c r="Q14" s="8">
        <v>8</v>
      </c>
      <c r="R14" s="5" t="s">
        <v>28</v>
      </c>
      <c r="S14" s="7" t="s">
        <v>15</v>
      </c>
    </row>
    <row r="15" spans="1:19" x14ac:dyDescent="0.25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1">
        <v>14270.9</v>
      </c>
      <c r="N15" s="1">
        <f>financials[[#This Row],[Sales]]-financials[[#This Row],[Budget]]</f>
        <v>751.10000000000036</v>
      </c>
      <c r="O15" s="10">
        <f>(financials[[#This Row],[Sales]]-financials[[#This Row],[Budget]])/financials[[#This Row],[Budget]]</f>
        <v>5.2631578947368446E-2</v>
      </c>
      <c r="P15" s="6">
        <v>41883</v>
      </c>
      <c r="Q15" s="8">
        <v>9</v>
      </c>
      <c r="R15" s="5" t="s">
        <v>29</v>
      </c>
      <c r="S15" s="7" t="s">
        <v>15</v>
      </c>
    </row>
    <row r="16" spans="1:19" x14ac:dyDescent="0.25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1">
        <v>37087.5</v>
      </c>
      <c r="N16" s="1">
        <f>financials[[#This Row],[Sales]]-financials[[#This Row],[Budget]]</f>
        <v>6037.5</v>
      </c>
      <c r="O16" s="10">
        <f>(financials[[#This Row],[Sales]]-financials[[#This Row],[Budget]])/financials[[#This Row],[Budget]]</f>
        <v>0.16279069767441862</v>
      </c>
      <c r="P16" s="6">
        <v>41548</v>
      </c>
      <c r="Q16" s="8">
        <v>10</v>
      </c>
      <c r="R16" s="5" t="s">
        <v>30</v>
      </c>
      <c r="S16" s="7" t="s">
        <v>14</v>
      </c>
    </row>
    <row r="17" spans="1:19" x14ac:dyDescent="0.25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1">
        <v>9594</v>
      </c>
      <c r="N17" s="1">
        <f>financials[[#This Row],[Sales]]-financials[[#This Row],[Budget]]</f>
        <v>-369</v>
      </c>
      <c r="O17" s="10">
        <f>(financials[[#This Row],[Sales]]-financials[[#This Row],[Budget]])/financials[[#This Row],[Budget]]</f>
        <v>-3.8461538461538464E-2</v>
      </c>
      <c r="P17" s="6">
        <v>41974</v>
      </c>
      <c r="Q17" s="8">
        <v>12</v>
      </c>
      <c r="R17" s="5" t="s">
        <v>32</v>
      </c>
      <c r="S17" s="7" t="s">
        <v>15</v>
      </c>
    </row>
    <row r="18" spans="1:19" x14ac:dyDescent="0.25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1">
        <v>5606.4</v>
      </c>
      <c r="N18" s="1">
        <f>financials[[#This Row],[Sales]]-financials[[#This Row],[Budget]]</f>
        <v>233.60000000000036</v>
      </c>
      <c r="O18" s="10">
        <f>(financials[[#This Row],[Sales]]-financials[[#This Row],[Budget]])/financials[[#This Row],[Budget]]</f>
        <v>4.1666666666666734E-2</v>
      </c>
      <c r="P18" s="6">
        <v>41671</v>
      </c>
      <c r="Q18" s="8">
        <v>2</v>
      </c>
      <c r="R18" s="5" t="s">
        <v>22</v>
      </c>
      <c r="S18" s="7" t="s">
        <v>15</v>
      </c>
    </row>
    <row r="19" spans="1:19" x14ac:dyDescent="0.25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1">
        <v>14902.2</v>
      </c>
      <c r="N19" s="1">
        <f>financials[[#This Row],[Sales]]-financials[[#This Row],[Budget]]</f>
        <v>-292.20000000000073</v>
      </c>
      <c r="O19" s="10">
        <f>(financials[[#This Row],[Sales]]-financials[[#This Row],[Budget]])/financials[[#This Row],[Budget]]</f>
        <v>-1.960784313725495E-2</v>
      </c>
      <c r="P19" s="6">
        <v>41671</v>
      </c>
      <c r="Q19" s="8">
        <v>2</v>
      </c>
      <c r="R19" s="5" t="s">
        <v>22</v>
      </c>
      <c r="S19" s="7" t="s">
        <v>15</v>
      </c>
    </row>
    <row r="20" spans="1:19" x14ac:dyDescent="0.25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1">
        <v>34144.079999999994</v>
      </c>
      <c r="N20" s="1">
        <f>financials[[#This Row],[Sales]]-financials[[#This Row],[Budget]]</f>
        <v>-3928.0799999999945</v>
      </c>
      <c r="O20" s="10">
        <f>(financials[[#This Row],[Sales]]-financials[[#This Row],[Budget]])/financials[[#This Row],[Budget]]</f>
        <v>-0.11504424778761048</v>
      </c>
      <c r="P20" s="6">
        <v>41791</v>
      </c>
      <c r="Q20" s="8">
        <v>6</v>
      </c>
      <c r="R20" s="5" t="s">
        <v>26</v>
      </c>
      <c r="S20" s="7" t="s">
        <v>15</v>
      </c>
    </row>
    <row r="21" spans="1:19" x14ac:dyDescent="0.25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1">
        <v>348579</v>
      </c>
      <c r="N21" s="1">
        <f>financials[[#This Row],[Sales]]-financials[[#This Row],[Budget]]</f>
        <v>3521</v>
      </c>
      <c r="O21" s="10">
        <f>(financials[[#This Row],[Sales]]-financials[[#This Row],[Budget]])/financials[[#This Row],[Budget]]</f>
        <v>1.0101010101010102E-2</v>
      </c>
      <c r="P21" s="6">
        <v>41791</v>
      </c>
      <c r="Q21" s="8">
        <v>6</v>
      </c>
      <c r="R21" s="5" t="s">
        <v>26</v>
      </c>
      <c r="S21" s="7" t="s">
        <v>15</v>
      </c>
    </row>
    <row r="22" spans="1:19" x14ac:dyDescent="0.25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1">
        <v>4315.92</v>
      </c>
      <c r="N22" s="1">
        <f>financials[[#This Row],[Sales]]-financials[[#This Row],[Budget]]</f>
        <v>88.079999999999927</v>
      </c>
      <c r="O22" s="10">
        <f>(financials[[#This Row],[Sales]]-financials[[#This Row],[Budget]])/financials[[#This Row],[Budget]]</f>
        <v>2.0408163265306107E-2</v>
      </c>
      <c r="P22" s="6">
        <v>41821</v>
      </c>
      <c r="Q22" s="8">
        <v>7</v>
      </c>
      <c r="R22" s="5" t="s">
        <v>27</v>
      </c>
      <c r="S22" s="7" t="s">
        <v>15</v>
      </c>
    </row>
    <row r="23" spans="1:19" x14ac:dyDescent="0.25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1">
        <v>5315.66</v>
      </c>
      <c r="N23" s="1">
        <f>financials[[#This Row],[Sales]]-financials[[#This Row],[Budget]]</f>
        <v>865.34000000000015</v>
      </c>
      <c r="O23" s="10">
        <f>(financials[[#This Row],[Sales]]-financials[[#This Row],[Budget]])/financials[[#This Row],[Budget]]</f>
        <v>0.16279069767441864</v>
      </c>
      <c r="P23" s="6">
        <v>41852</v>
      </c>
      <c r="Q23" s="8">
        <v>8</v>
      </c>
      <c r="R23" s="5" t="s">
        <v>28</v>
      </c>
      <c r="S23" s="7" t="s">
        <v>15</v>
      </c>
    </row>
    <row r="24" spans="1:19" x14ac:dyDescent="0.25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1">
        <v>8564.4</v>
      </c>
      <c r="N24" s="1">
        <f>financials[[#This Row],[Sales]]-financials[[#This Row],[Budget]]</f>
        <v>-329.39999999999964</v>
      </c>
      <c r="O24" s="10">
        <f>(financials[[#This Row],[Sales]]-financials[[#This Row],[Budget]])/financials[[#This Row],[Budget]]</f>
        <v>-3.8461538461538422E-2</v>
      </c>
      <c r="P24" s="6">
        <v>41518</v>
      </c>
      <c r="Q24" s="8">
        <v>9</v>
      </c>
      <c r="R24" s="5" t="s">
        <v>29</v>
      </c>
      <c r="S24" s="7" t="s">
        <v>14</v>
      </c>
    </row>
    <row r="25" spans="1:19" x14ac:dyDescent="0.25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1">
        <v>241128</v>
      </c>
      <c r="N25" s="1">
        <f>financials[[#This Row],[Sales]]-financials[[#This Row],[Budget]]</f>
        <v>-4728</v>
      </c>
      <c r="O25" s="10">
        <f>(financials[[#This Row],[Sales]]-financials[[#This Row],[Budget]])/financials[[#This Row],[Budget]]</f>
        <v>-1.9607843137254902E-2</v>
      </c>
      <c r="P25" s="6">
        <v>41518</v>
      </c>
      <c r="Q25" s="8">
        <v>9</v>
      </c>
      <c r="R25" s="5" t="s">
        <v>29</v>
      </c>
      <c r="S25" s="7" t="s">
        <v>14</v>
      </c>
    </row>
    <row r="26" spans="1:19" x14ac:dyDescent="0.25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1">
        <v>38192.400000000001</v>
      </c>
      <c r="N26" s="1">
        <f>financials[[#This Row],[Sales]]-financials[[#This Row],[Budget]]</f>
        <v>-1112.4000000000015</v>
      </c>
      <c r="O26" s="10">
        <f>(financials[[#This Row],[Sales]]-financials[[#This Row],[Budget]])/financials[[#This Row],[Budget]]</f>
        <v>-2.9126213592233045E-2</v>
      </c>
      <c r="P26" s="6">
        <v>41883</v>
      </c>
      <c r="Q26" s="8">
        <v>9</v>
      </c>
      <c r="R26" s="5" t="s">
        <v>29</v>
      </c>
      <c r="S26" s="7" t="s">
        <v>15</v>
      </c>
    </row>
    <row r="27" spans="1:19" x14ac:dyDescent="0.25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1">
        <v>7360.92</v>
      </c>
      <c r="N27" s="1">
        <f>financials[[#This Row],[Sales]]-financials[[#This Row],[Budget]]</f>
        <v>640.07999999999993</v>
      </c>
      <c r="O27" s="10">
        <f>(financials[[#This Row],[Sales]]-financials[[#This Row],[Budget]])/financials[[#This Row],[Budget]]</f>
        <v>8.6956521739130418E-2</v>
      </c>
      <c r="P27" s="6">
        <v>41913</v>
      </c>
      <c r="Q27" s="8">
        <v>10</v>
      </c>
      <c r="R27" s="5" t="s">
        <v>30</v>
      </c>
      <c r="S27" s="7" t="s">
        <v>15</v>
      </c>
    </row>
    <row r="28" spans="1:19" x14ac:dyDescent="0.25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1">
        <v>658087.5</v>
      </c>
      <c r="N28" s="1">
        <f>financials[[#This Row],[Sales]]-financials[[#This Row],[Budget]]</f>
        <v>-54337.5</v>
      </c>
      <c r="O28" s="10">
        <f>(financials[[#This Row],[Sales]]-financials[[#This Row],[Budget]])/financials[[#This Row],[Budget]]</f>
        <v>-8.2568807339449546E-2</v>
      </c>
      <c r="P28" s="6">
        <v>41579</v>
      </c>
      <c r="Q28" s="8">
        <v>11</v>
      </c>
      <c r="R28" s="5" t="s">
        <v>31</v>
      </c>
      <c r="S28" s="7" t="s">
        <v>14</v>
      </c>
    </row>
    <row r="29" spans="1:19" x14ac:dyDescent="0.25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1">
        <v>11819.52</v>
      </c>
      <c r="N29" s="1">
        <f>financials[[#This Row],[Sales]]-financials[[#This Row],[Budget]]</f>
        <v>-875.52000000000044</v>
      </c>
      <c r="O29" s="10">
        <f>(financials[[#This Row],[Sales]]-financials[[#This Row],[Budget]])/financials[[#This Row],[Budget]]</f>
        <v>-7.4074074074074112E-2</v>
      </c>
      <c r="P29" s="6">
        <v>41579</v>
      </c>
      <c r="Q29" s="8">
        <v>11</v>
      </c>
      <c r="R29" s="5" t="s">
        <v>31</v>
      </c>
      <c r="S29" s="7" t="s">
        <v>14</v>
      </c>
    </row>
    <row r="30" spans="1:19" x14ac:dyDescent="0.25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1">
        <v>37122</v>
      </c>
      <c r="N30" s="1">
        <f>financials[[#This Row],[Sales]]-financials[[#This Row],[Budget]]</f>
        <v>-4842</v>
      </c>
      <c r="O30" s="10">
        <f>(financials[[#This Row],[Sales]]-financials[[#This Row],[Budget]])/financials[[#This Row],[Budget]]</f>
        <v>-0.13043478260869565</v>
      </c>
      <c r="P30" s="6">
        <v>41609</v>
      </c>
      <c r="Q30" s="8">
        <v>12</v>
      </c>
      <c r="R30" s="5" t="s">
        <v>32</v>
      </c>
      <c r="S30" s="7" t="s">
        <v>14</v>
      </c>
    </row>
    <row r="31" spans="1:19" x14ac:dyDescent="0.25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1">
        <v>30889</v>
      </c>
      <c r="N31" s="1">
        <f>financials[[#This Row],[Sales]]-financials[[#This Row],[Budget]]</f>
        <v>5451</v>
      </c>
      <c r="O31" s="10">
        <f>(financials[[#This Row],[Sales]]-financials[[#This Row],[Budget]])/financials[[#This Row],[Budget]]</f>
        <v>0.17647058823529413</v>
      </c>
      <c r="P31" s="6">
        <v>41974</v>
      </c>
      <c r="Q31" s="8">
        <v>12</v>
      </c>
      <c r="R31" s="5" t="s">
        <v>32</v>
      </c>
      <c r="S31" s="7" t="s">
        <v>15</v>
      </c>
    </row>
    <row r="32" spans="1:19" x14ac:dyDescent="0.25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1">
        <v>524254.5</v>
      </c>
      <c r="N32" s="1">
        <f>financials[[#This Row],[Sales]]-financials[[#This Row],[Budget]]</f>
        <v>5295.5</v>
      </c>
      <c r="O32" s="10">
        <f>(financials[[#This Row],[Sales]]-financials[[#This Row],[Budget]])/financials[[#This Row],[Budget]]</f>
        <v>1.0101010101010102E-2</v>
      </c>
      <c r="P32" s="6">
        <v>41974</v>
      </c>
      <c r="Q32" s="8">
        <v>12</v>
      </c>
      <c r="R32" s="5" t="s">
        <v>32</v>
      </c>
      <c r="S32" s="7" t="s">
        <v>15</v>
      </c>
    </row>
    <row r="33" spans="1:19" x14ac:dyDescent="0.25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1">
        <v>11182.570000000002</v>
      </c>
      <c r="N33" s="1">
        <f>financials[[#This Row],[Sales]]-financials[[#This Row],[Budget]]</f>
        <v>-731.57000000000153</v>
      </c>
      <c r="O33" s="10">
        <f>(financials[[#This Row],[Sales]]-financials[[#This Row],[Budget]])/financials[[#This Row],[Budget]]</f>
        <v>-6.5420560747663684E-2</v>
      </c>
      <c r="P33" s="6">
        <v>41640</v>
      </c>
      <c r="Q33" s="8">
        <v>1</v>
      </c>
      <c r="R33" s="5" t="s">
        <v>21</v>
      </c>
      <c r="S33" s="7" t="s">
        <v>15</v>
      </c>
    </row>
    <row r="34" spans="1:19" x14ac:dyDescent="0.25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1">
        <v>236775</v>
      </c>
      <c r="N34" s="1">
        <f>financials[[#This Row],[Sales]]-financials[[#This Row],[Budget]]</f>
        <v>-11275</v>
      </c>
      <c r="O34" s="10">
        <f>(financials[[#This Row],[Sales]]-financials[[#This Row],[Budget]])/financials[[#This Row],[Budget]]</f>
        <v>-4.7619047619047616E-2</v>
      </c>
      <c r="P34" s="6">
        <v>41671</v>
      </c>
      <c r="Q34" s="8">
        <v>2</v>
      </c>
      <c r="R34" s="5" t="s">
        <v>22</v>
      </c>
      <c r="S34" s="7" t="s">
        <v>15</v>
      </c>
    </row>
    <row r="35" spans="1:19" x14ac:dyDescent="0.25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1">
        <v>27747.24</v>
      </c>
      <c r="N35" s="1">
        <f>financials[[#This Row],[Sales]]-financials[[#This Row],[Budget]]</f>
        <v>-1815.2400000000016</v>
      </c>
      <c r="O35" s="10">
        <f>(financials[[#This Row],[Sales]]-financials[[#This Row],[Budget]])/financials[[#This Row],[Budget]]</f>
        <v>-6.54205607476636E-2</v>
      </c>
      <c r="P35" s="6">
        <v>41699</v>
      </c>
      <c r="Q35" s="8">
        <v>3</v>
      </c>
      <c r="R35" s="5" t="s">
        <v>23</v>
      </c>
      <c r="S35" s="7" t="s">
        <v>15</v>
      </c>
    </row>
    <row r="36" spans="1:19" x14ac:dyDescent="0.25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1">
        <v>330974</v>
      </c>
      <c r="N36" s="1">
        <f>financials[[#This Row],[Sales]]-financials[[#This Row],[Budget]]</f>
        <v>21126</v>
      </c>
      <c r="O36" s="10">
        <f>(financials[[#This Row],[Sales]]-financials[[#This Row],[Budget]])/financials[[#This Row],[Budget]]</f>
        <v>6.3829787234042548E-2</v>
      </c>
      <c r="P36" s="6">
        <v>41791</v>
      </c>
      <c r="Q36" s="8">
        <v>6</v>
      </c>
      <c r="R36" s="5" t="s">
        <v>26</v>
      </c>
      <c r="S36" s="7" t="s">
        <v>15</v>
      </c>
    </row>
    <row r="37" spans="1:19" x14ac:dyDescent="0.25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1">
        <v>16686</v>
      </c>
      <c r="N37" s="1">
        <f>financials[[#This Row],[Sales]]-financials[[#This Row],[Budget]]</f>
        <v>1854</v>
      </c>
      <c r="O37" s="10">
        <f>(financials[[#This Row],[Sales]]-financials[[#This Row],[Budget]])/financials[[#This Row],[Budget]]</f>
        <v>0.1111111111111111</v>
      </c>
      <c r="P37" s="6">
        <v>41791</v>
      </c>
      <c r="Q37" s="8">
        <v>6</v>
      </c>
      <c r="R37" s="5" t="s">
        <v>26</v>
      </c>
      <c r="S37" s="7" t="s">
        <v>15</v>
      </c>
    </row>
    <row r="38" spans="1:19" x14ac:dyDescent="0.25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1">
        <v>324415</v>
      </c>
      <c r="N38" s="1">
        <f>financials[[#This Row],[Sales]]-financials[[#This Row],[Budget]]</f>
        <v>28210</v>
      </c>
      <c r="O38" s="10">
        <f>(financials[[#This Row],[Sales]]-financials[[#This Row],[Budget]])/financials[[#This Row],[Budget]]</f>
        <v>8.6956521739130432E-2</v>
      </c>
      <c r="P38" s="6">
        <v>41852</v>
      </c>
      <c r="Q38" s="8">
        <v>8</v>
      </c>
      <c r="R38" s="5" t="s">
        <v>28</v>
      </c>
      <c r="S38" s="7" t="s">
        <v>15</v>
      </c>
    </row>
    <row r="39" spans="1:19" x14ac:dyDescent="0.25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1">
        <v>46143.75</v>
      </c>
      <c r="N39" s="1">
        <f>financials[[#This Row],[Sales]]-financials[[#This Row],[Budget]]</f>
        <v>-3018.75</v>
      </c>
      <c r="O39" s="10">
        <f>(financials[[#This Row],[Sales]]-financials[[#This Row],[Budget]])/financials[[#This Row],[Budget]]</f>
        <v>-6.5420560747663545E-2</v>
      </c>
      <c r="P39" s="6">
        <v>41548</v>
      </c>
      <c r="Q39" s="8">
        <v>10</v>
      </c>
      <c r="R39" s="5" t="s">
        <v>30</v>
      </c>
      <c r="S39" s="7" t="s">
        <v>14</v>
      </c>
    </row>
    <row r="40" spans="1:19" x14ac:dyDescent="0.25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1">
        <v>684341.99999999988</v>
      </c>
      <c r="N40" s="1">
        <f>financials[[#This Row],[Sales]]-financials[[#This Row],[Budget]]</f>
        <v>-84041.999999999884</v>
      </c>
      <c r="O40" s="10">
        <f>(financials[[#This Row],[Sales]]-financials[[#This Row],[Budget]])/financials[[#This Row],[Budget]]</f>
        <v>-0.1228070175438595</v>
      </c>
      <c r="P40" s="6">
        <v>41671</v>
      </c>
      <c r="Q40" s="8">
        <v>2</v>
      </c>
      <c r="R40" s="5" t="s">
        <v>22</v>
      </c>
      <c r="S40" s="7" t="s">
        <v>15</v>
      </c>
    </row>
    <row r="41" spans="1:19" x14ac:dyDescent="0.25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1">
        <v>36439.920000000006</v>
      </c>
      <c r="N41" s="1">
        <f>financials[[#This Row],[Sales]]-financials[[#This Row],[Budget]]</f>
        <v>-2383.9200000000055</v>
      </c>
      <c r="O41" s="10">
        <f>(financials[[#This Row],[Sales]]-financials[[#This Row],[Budget]])/financials[[#This Row],[Budget]]</f>
        <v>-6.5420560747663697E-2</v>
      </c>
      <c r="P41" s="6">
        <v>41730</v>
      </c>
      <c r="Q41" s="8">
        <v>4</v>
      </c>
      <c r="R41" s="5" t="s">
        <v>24</v>
      </c>
      <c r="S41" s="7" t="s">
        <v>15</v>
      </c>
    </row>
    <row r="42" spans="1:19" x14ac:dyDescent="0.25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1">
        <v>37570.5</v>
      </c>
      <c r="N42" s="1">
        <f>financials[[#This Row],[Sales]]-financials[[#This Row],[Budget]]</f>
        <v>-4900.5</v>
      </c>
      <c r="O42" s="10">
        <f>(financials[[#This Row],[Sales]]-financials[[#This Row],[Budget]])/financials[[#This Row],[Budget]]</f>
        <v>-0.13043478260869565</v>
      </c>
      <c r="P42" s="6">
        <v>41791</v>
      </c>
      <c r="Q42" s="8">
        <v>6</v>
      </c>
      <c r="R42" s="5" t="s">
        <v>26</v>
      </c>
      <c r="S42" s="7" t="s">
        <v>15</v>
      </c>
    </row>
    <row r="43" spans="1:19" x14ac:dyDescent="0.25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1">
        <v>13320</v>
      </c>
      <c r="N43" s="1">
        <f>financials[[#This Row],[Sales]]-financials[[#This Row],[Budget]]</f>
        <v>0</v>
      </c>
      <c r="O43" s="10">
        <f>(financials[[#This Row],[Sales]]-financials[[#This Row],[Budget]])/financials[[#This Row],[Budget]]</f>
        <v>0</v>
      </c>
      <c r="P43" s="6">
        <v>41791</v>
      </c>
      <c r="Q43" s="8">
        <v>6</v>
      </c>
      <c r="R43" s="5" t="s">
        <v>26</v>
      </c>
      <c r="S43" s="7" t="s">
        <v>15</v>
      </c>
    </row>
    <row r="44" spans="1:19" x14ac:dyDescent="0.25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1">
        <v>539794.5</v>
      </c>
      <c r="N44" s="1">
        <f>financials[[#This Row],[Sales]]-financials[[#This Row],[Budget]]</f>
        <v>-5344.5</v>
      </c>
      <c r="O44" s="10">
        <f>(financials[[#This Row],[Sales]]-financials[[#This Row],[Budget]])/financials[[#This Row],[Budget]]</f>
        <v>-9.9009900990099011E-3</v>
      </c>
      <c r="P44" s="6">
        <v>41518</v>
      </c>
      <c r="Q44" s="8">
        <v>9</v>
      </c>
      <c r="R44" s="5" t="s">
        <v>29</v>
      </c>
      <c r="S44" s="7" t="s">
        <v>14</v>
      </c>
    </row>
    <row r="45" spans="1:19" x14ac:dyDescent="0.25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1">
        <v>684018</v>
      </c>
      <c r="N45" s="1">
        <f>financials[[#This Row],[Sales]]-financials[[#This Row],[Budget]]</f>
        <v>-38718</v>
      </c>
      <c r="O45" s="10">
        <f>(financials[[#This Row],[Sales]]-financials[[#This Row],[Budget]])/financials[[#This Row],[Budget]]</f>
        <v>-5.6603773584905662E-2</v>
      </c>
      <c r="P45" s="6">
        <v>41883</v>
      </c>
      <c r="Q45" s="8">
        <v>9</v>
      </c>
      <c r="R45" s="5" t="s">
        <v>29</v>
      </c>
      <c r="S45" s="7" t="s">
        <v>15</v>
      </c>
    </row>
    <row r="46" spans="1:19" x14ac:dyDescent="0.25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1">
        <v>33069.4</v>
      </c>
      <c r="N46" s="1">
        <f>financials[[#This Row],[Sales]]-financials[[#This Row],[Budget]]</f>
        <v>3270.5999999999985</v>
      </c>
      <c r="O46" s="10">
        <f>(financials[[#This Row],[Sales]]-financials[[#This Row],[Budget]])/financials[[#This Row],[Budget]]</f>
        <v>9.8901098901098855E-2</v>
      </c>
      <c r="P46" s="6">
        <v>41974</v>
      </c>
      <c r="Q46" s="8">
        <v>12</v>
      </c>
      <c r="R46" s="5" t="s">
        <v>32</v>
      </c>
      <c r="S46" s="7" t="s">
        <v>15</v>
      </c>
    </row>
    <row r="47" spans="1:19" x14ac:dyDescent="0.25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1">
        <v>933625</v>
      </c>
      <c r="N47" s="1">
        <f>financials[[#This Row],[Sales]]-financials[[#This Row],[Budget]]</f>
        <v>28875</v>
      </c>
      <c r="O47" s="10">
        <f>(financials[[#This Row],[Sales]]-financials[[#This Row],[Budget]])/financials[[#This Row],[Budget]]</f>
        <v>3.0927835051546393E-2</v>
      </c>
      <c r="P47" s="6">
        <v>41671</v>
      </c>
      <c r="Q47" s="8">
        <v>2</v>
      </c>
      <c r="R47" s="5" t="s">
        <v>22</v>
      </c>
      <c r="S47" s="7" t="s">
        <v>15</v>
      </c>
    </row>
    <row r="48" spans="1:19" x14ac:dyDescent="0.25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1">
        <v>22498.559999999998</v>
      </c>
      <c r="N48" s="1">
        <f>financials[[#This Row],[Sales]]-financials[[#This Row],[Budget]]</f>
        <v>937.44000000000233</v>
      </c>
      <c r="O48" s="10">
        <f>(financials[[#This Row],[Sales]]-financials[[#This Row],[Budget]])/financials[[#This Row],[Budget]]</f>
        <v>4.1666666666666775E-2</v>
      </c>
      <c r="P48" s="6">
        <v>41730</v>
      </c>
      <c r="Q48" s="8">
        <v>4</v>
      </c>
      <c r="R48" s="5" t="s">
        <v>24</v>
      </c>
      <c r="S48" s="7" t="s">
        <v>15</v>
      </c>
    </row>
    <row r="49" spans="1:19" x14ac:dyDescent="0.25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1">
        <v>553809.375</v>
      </c>
      <c r="N49" s="1">
        <f>financials[[#This Row],[Sales]]-financials[[#This Row],[Budget]]</f>
        <v>-26371.875</v>
      </c>
      <c r="O49" s="10">
        <f>(financials[[#This Row],[Sales]]-financials[[#This Row],[Budget]])/financials[[#This Row],[Budget]]</f>
        <v>-4.7619047619047616E-2</v>
      </c>
      <c r="P49" s="6">
        <v>41730</v>
      </c>
      <c r="Q49" s="8">
        <v>4</v>
      </c>
      <c r="R49" s="5" t="s">
        <v>24</v>
      </c>
      <c r="S49" s="7" t="s">
        <v>15</v>
      </c>
    </row>
    <row r="50" spans="1:19" x14ac:dyDescent="0.25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1">
        <v>32662.799999999999</v>
      </c>
      <c r="N50" s="1">
        <f>financials[[#This Row],[Sales]]-financials[[#This Row],[Budget]]</f>
        <v>5317.2000000000007</v>
      </c>
      <c r="O50" s="10">
        <f>(financials[[#This Row],[Sales]]-financials[[#This Row],[Budget]])/financials[[#This Row],[Budget]]</f>
        <v>0.16279069767441864</v>
      </c>
      <c r="P50" s="6">
        <v>41791</v>
      </c>
      <c r="Q50" s="8">
        <v>6</v>
      </c>
      <c r="R50" s="5" t="s">
        <v>26</v>
      </c>
      <c r="S50" s="7" t="s">
        <v>15</v>
      </c>
    </row>
    <row r="51" spans="1:19" x14ac:dyDescent="0.25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1">
        <v>12156.06</v>
      </c>
      <c r="N51" s="1">
        <f>financials[[#This Row],[Sales]]-financials[[#This Row],[Budget]]</f>
        <v>-354.05999999999949</v>
      </c>
      <c r="O51" s="10">
        <f>(financials[[#This Row],[Sales]]-financials[[#This Row],[Budget]])/financials[[#This Row],[Budget]]</f>
        <v>-2.9126213592232969E-2</v>
      </c>
      <c r="P51" s="6">
        <v>41821</v>
      </c>
      <c r="Q51" s="8">
        <v>7</v>
      </c>
      <c r="R51" s="5" t="s">
        <v>27</v>
      </c>
      <c r="S51" s="7" t="s">
        <v>15</v>
      </c>
    </row>
    <row r="52" spans="1:19" x14ac:dyDescent="0.25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1">
        <v>23379.72</v>
      </c>
      <c r="N52" s="1">
        <f>financials[[#This Row],[Sales]]-financials[[#This Row],[Budget]]</f>
        <v>2312.2799999999988</v>
      </c>
      <c r="O52" s="10">
        <f>(financials[[#This Row],[Sales]]-financials[[#This Row],[Budget]])/financials[[#This Row],[Budget]]</f>
        <v>9.8901098901098841E-2</v>
      </c>
      <c r="P52" s="6">
        <v>41852</v>
      </c>
      <c r="Q52" s="8">
        <v>8</v>
      </c>
      <c r="R52" s="5" t="s">
        <v>28</v>
      </c>
      <c r="S52" s="7" t="s">
        <v>15</v>
      </c>
    </row>
    <row r="53" spans="1:19" x14ac:dyDescent="0.25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1">
        <v>7040.88</v>
      </c>
      <c r="N53" s="1">
        <f>financials[[#This Row],[Sales]]-financials[[#This Row],[Budget]]</f>
        <v>960.11999999999989</v>
      </c>
      <c r="O53" s="10">
        <f>(financials[[#This Row],[Sales]]-financials[[#This Row],[Budget]])/financials[[#This Row],[Budget]]</f>
        <v>0.13636363636363635</v>
      </c>
      <c r="P53" s="6">
        <v>41913</v>
      </c>
      <c r="Q53" s="8">
        <v>10</v>
      </c>
      <c r="R53" s="5" t="s">
        <v>30</v>
      </c>
      <c r="S53" s="7" t="s">
        <v>15</v>
      </c>
    </row>
    <row r="54" spans="1:19" x14ac:dyDescent="0.25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1">
        <v>7841.25</v>
      </c>
      <c r="N54" s="1">
        <f>financials[[#This Row],[Sales]]-financials[[#This Row],[Budget]]</f>
        <v>1383.75</v>
      </c>
      <c r="O54" s="10">
        <f>(financials[[#This Row],[Sales]]-financials[[#This Row],[Budget]])/financials[[#This Row],[Budget]]</f>
        <v>0.17647058823529413</v>
      </c>
      <c r="P54" s="6">
        <v>41974</v>
      </c>
      <c r="Q54" s="8">
        <v>12</v>
      </c>
      <c r="R54" s="5" t="s">
        <v>32</v>
      </c>
      <c r="S54" s="7" t="s">
        <v>15</v>
      </c>
    </row>
    <row r="55" spans="1:19" x14ac:dyDescent="0.25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1">
        <v>23784.799500000001</v>
      </c>
      <c r="N55" s="1">
        <f>financials[[#This Row],[Sales]]-financials[[#This Row],[Budget]]</f>
        <v>3554.0505000000012</v>
      </c>
      <c r="O55" s="10">
        <f>(financials[[#This Row],[Sales]]-financials[[#This Row],[Budget]])/financials[[#This Row],[Budget]]</f>
        <v>0.14942528735632188</v>
      </c>
      <c r="P55" s="6">
        <v>41640</v>
      </c>
      <c r="Q55" s="8">
        <v>1</v>
      </c>
      <c r="R55" s="5" t="s">
        <v>21</v>
      </c>
      <c r="S55" s="7" t="s">
        <v>15</v>
      </c>
    </row>
    <row r="56" spans="1:19" x14ac:dyDescent="0.25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1">
        <v>32390.819999999996</v>
      </c>
      <c r="N56" s="1">
        <f>financials[[#This Row],[Sales]]-financials[[#This Row],[Budget]]</f>
        <v>1704.7800000000025</v>
      </c>
      <c r="O56" s="10">
        <f>(financials[[#This Row],[Sales]]-financials[[#This Row],[Budget]])/financials[[#This Row],[Budget]]</f>
        <v>5.2631578947368501E-2</v>
      </c>
      <c r="P56" s="6">
        <v>41671</v>
      </c>
      <c r="Q56" s="8">
        <v>2</v>
      </c>
      <c r="R56" s="5" t="s">
        <v>22</v>
      </c>
      <c r="S56" s="7" t="s">
        <v>15</v>
      </c>
    </row>
    <row r="57" spans="1:19" x14ac:dyDescent="0.25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1">
        <v>6995.1419999999998</v>
      </c>
      <c r="N57" s="1">
        <f>financials[[#This Row],[Sales]]-financials[[#This Row],[Budget]]</f>
        <v>142.75799999999981</v>
      </c>
      <c r="O57" s="10">
        <f>(financials[[#This Row],[Sales]]-financials[[#This Row],[Budget]])/financials[[#This Row],[Budget]]</f>
        <v>2.0408163265306097E-2</v>
      </c>
      <c r="P57" s="6">
        <v>41760</v>
      </c>
      <c r="Q57" s="8">
        <v>5</v>
      </c>
      <c r="R57" s="5" t="s">
        <v>25</v>
      </c>
      <c r="S57" s="7" t="s">
        <v>15</v>
      </c>
    </row>
    <row r="58" spans="1:19" x14ac:dyDescent="0.25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1">
        <v>4738.2489000000005</v>
      </c>
      <c r="N58" s="1">
        <f>financials[[#This Row],[Sales]]-financials[[#This Row],[Budget]]</f>
        <v>-309.97890000000007</v>
      </c>
      <c r="O58" s="10">
        <f>(financials[[#This Row],[Sales]]-financials[[#This Row],[Budget]])/financials[[#This Row],[Budget]]</f>
        <v>-6.5420560747663559E-2</v>
      </c>
      <c r="P58" s="6">
        <v>41944</v>
      </c>
      <c r="Q58" s="8">
        <v>11</v>
      </c>
      <c r="R58" s="5" t="s">
        <v>31</v>
      </c>
      <c r="S58" s="7" t="s">
        <v>15</v>
      </c>
    </row>
    <row r="59" spans="1:19" x14ac:dyDescent="0.25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1">
        <v>7902.6948000000002</v>
      </c>
      <c r="N59" s="1">
        <f>financials[[#This Row],[Sales]]-financials[[#This Row],[Budget]]</f>
        <v>1286.4852000000001</v>
      </c>
      <c r="O59" s="10">
        <f>(financials[[#This Row],[Sales]]-financials[[#This Row],[Budget]])/financials[[#This Row],[Budget]]</f>
        <v>0.16279069767441862</v>
      </c>
      <c r="P59" s="6">
        <v>41699</v>
      </c>
      <c r="Q59" s="8">
        <v>3</v>
      </c>
      <c r="R59" s="5" t="s">
        <v>23</v>
      </c>
      <c r="S59" s="7" t="s">
        <v>15</v>
      </c>
    </row>
    <row r="60" spans="1:19" x14ac:dyDescent="0.25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1">
        <v>21410.8488</v>
      </c>
      <c r="N60" s="1">
        <f>financials[[#This Row],[Sales]]-financials[[#This Row],[Budget]]</f>
        <v>662.19120000000112</v>
      </c>
      <c r="O60" s="10">
        <f>(financials[[#This Row],[Sales]]-financials[[#This Row],[Budget]])/financials[[#This Row],[Budget]]</f>
        <v>3.0927835051546445E-2</v>
      </c>
      <c r="P60" s="6">
        <v>41671</v>
      </c>
      <c r="Q60" s="8">
        <v>2</v>
      </c>
      <c r="R60" s="5" t="s">
        <v>22</v>
      </c>
      <c r="S60" s="7" t="s">
        <v>15</v>
      </c>
    </row>
    <row r="61" spans="1:19" x14ac:dyDescent="0.25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1">
        <v>473769.44999999995</v>
      </c>
      <c r="N61" s="1">
        <f>financials[[#This Row],[Sales]]-financials[[#This Row],[Budget]]</f>
        <v>-54504.449999999953</v>
      </c>
      <c r="O61" s="10">
        <f>(financials[[#This Row],[Sales]]-financials[[#This Row],[Budget]])/financials[[#This Row],[Budget]]</f>
        <v>-0.11504424778761053</v>
      </c>
      <c r="P61" s="6">
        <v>41699</v>
      </c>
      <c r="Q61" s="8">
        <v>3</v>
      </c>
      <c r="R61" s="5" t="s">
        <v>23</v>
      </c>
      <c r="S61" s="7" t="s">
        <v>15</v>
      </c>
    </row>
    <row r="62" spans="1:19" x14ac:dyDescent="0.25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1">
        <v>17876.489400000002</v>
      </c>
      <c r="N62" s="1">
        <f>financials[[#This Row],[Sales]]-financials[[#This Row],[Budget]]</f>
        <v>-350.51940000000104</v>
      </c>
      <c r="O62" s="10">
        <f>(financials[[#This Row],[Sales]]-financials[[#This Row],[Budget]])/financials[[#This Row],[Budget]]</f>
        <v>-1.9607843137254957E-2</v>
      </c>
      <c r="P62" s="6">
        <v>41821</v>
      </c>
      <c r="Q62" s="8">
        <v>7</v>
      </c>
      <c r="R62" s="5" t="s">
        <v>27</v>
      </c>
      <c r="S62" s="7" t="s">
        <v>15</v>
      </c>
    </row>
    <row r="63" spans="1:19" x14ac:dyDescent="0.25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1">
        <v>14763.275999999998</v>
      </c>
      <c r="N63" s="1">
        <f>financials[[#This Row],[Sales]]-financials[[#This Row],[Budget]]</f>
        <v>2403.3240000000005</v>
      </c>
      <c r="O63" s="10">
        <f>(financials[[#This Row],[Sales]]-financials[[#This Row],[Budget]])/financials[[#This Row],[Budget]]</f>
        <v>0.16279069767441867</v>
      </c>
      <c r="P63" s="6">
        <v>41883</v>
      </c>
      <c r="Q63" s="8">
        <v>9</v>
      </c>
      <c r="R63" s="5" t="s">
        <v>29</v>
      </c>
      <c r="S63" s="7" t="s">
        <v>15</v>
      </c>
    </row>
    <row r="64" spans="1:19" x14ac:dyDescent="0.25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1">
        <v>37570.5</v>
      </c>
      <c r="N64" s="1">
        <f>financials[[#This Row],[Sales]]-financials[[#This Row],[Budget]]</f>
        <v>3267</v>
      </c>
      <c r="O64" s="10">
        <f>(financials[[#This Row],[Sales]]-financials[[#This Row],[Budget]])/financials[[#This Row],[Budget]]</f>
        <v>8.6956521739130432E-2</v>
      </c>
      <c r="P64" s="6">
        <v>41518</v>
      </c>
      <c r="Q64" s="8">
        <v>9</v>
      </c>
      <c r="R64" s="5" t="s">
        <v>29</v>
      </c>
      <c r="S64" s="7" t="s">
        <v>14</v>
      </c>
    </row>
    <row r="65" spans="1:19" x14ac:dyDescent="0.25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1">
        <v>33635.368800000004</v>
      </c>
      <c r="N65" s="1">
        <f>financials[[#This Row],[Sales]]-financials[[#This Row],[Budget]]</f>
        <v>-1903.8888000000043</v>
      </c>
      <c r="O65" s="10">
        <f>(financials[[#This Row],[Sales]]-financials[[#This Row],[Budget]])/financials[[#This Row],[Budget]]</f>
        <v>-5.660377358490578E-2</v>
      </c>
      <c r="P65" s="6">
        <v>41883</v>
      </c>
      <c r="Q65" s="8">
        <v>9</v>
      </c>
      <c r="R65" s="5" t="s">
        <v>29</v>
      </c>
      <c r="S65" s="7" t="s">
        <v>15</v>
      </c>
    </row>
    <row r="66" spans="1:19" x14ac:dyDescent="0.25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1">
        <v>10374.091199999999</v>
      </c>
      <c r="N66" s="1">
        <f>financials[[#This Row],[Sales]]-financials[[#This Row],[Budget]]</f>
        <v>-1274.011199999999</v>
      </c>
      <c r="O66" s="10">
        <f>(financials[[#This Row],[Sales]]-financials[[#This Row],[Budget]])/financials[[#This Row],[Budget]]</f>
        <v>-0.12280701754385957</v>
      </c>
      <c r="P66" s="6">
        <v>41548</v>
      </c>
      <c r="Q66" s="8">
        <v>10</v>
      </c>
      <c r="R66" s="5" t="s">
        <v>30</v>
      </c>
      <c r="S66" s="7" t="s">
        <v>14</v>
      </c>
    </row>
    <row r="67" spans="1:19" x14ac:dyDescent="0.25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1">
        <v>145250.82</v>
      </c>
      <c r="N67" s="1">
        <f>financials[[#This Row],[Sales]]-financials[[#This Row],[Budget]]</f>
        <v>1467.179999999993</v>
      </c>
      <c r="O67" s="10">
        <f>(financials[[#This Row],[Sales]]-financials[[#This Row],[Budget]])/financials[[#This Row],[Budget]]</f>
        <v>1.0101010101010053E-2</v>
      </c>
      <c r="P67" s="6">
        <v>41548</v>
      </c>
      <c r="Q67" s="8">
        <v>10</v>
      </c>
      <c r="R67" s="5" t="s">
        <v>30</v>
      </c>
      <c r="S67" s="7" t="s">
        <v>14</v>
      </c>
    </row>
    <row r="68" spans="1:19" x14ac:dyDescent="0.25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1">
        <v>551828.97</v>
      </c>
      <c r="N68" s="1">
        <f>financials[[#This Row],[Sales]]-financials[[#This Row],[Budget]]</f>
        <v>-67768.469999999972</v>
      </c>
      <c r="O68" s="10">
        <f>(financials[[#This Row],[Sales]]-financials[[#This Row],[Budget]])/financials[[#This Row],[Budget]]</f>
        <v>-0.1228070175438596</v>
      </c>
      <c r="P68" s="6">
        <v>41913</v>
      </c>
      <c r="Q68" s="8">
        <v>10</v>
      </c>
      <c r="R68" s="5" t="s">
        <v>30</v>
      </c>
      <c r="S68" s="7" t="s">
        <v>15</v>
      </c>
    </row>
    <row r="69" spans="1:19" x14ac:dyDescent="0.25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1">
        <v>784042.875</v>
      </c>
      <c r="N69" s="1">
        <f>financials[[#This Row],[Sales]]-financials[[#This Row],[Budget]]</f>
        <v>-37335.375</v>
      </c>
      <c r="O69" s="10">
        <f>(financials[[#This Row],[Sales]]-financials[[#This Row],[Budget]])/financials[[#This Row],[Budget]]</f>
        <v>-4.7619047619047616E-2</v>
      </c>
      <c r="P69" s="6">
        <v>41974</v>
      </c>
      <c r="Q69" s="8">
        <v>12</v>
      </c>
      <c r="R69" s="5" t="s">
        <v>32</v>
      </c>
      <c r="S69" s="7" t="s">
        <v>15</v>
      </c>
    </row>
    <row r="70" spans="1:19" x14ac:dyDescent="0.25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1">
        <v>33864.237000000001</v>
      </c>
      <c r="N70" s="1">
        <f>financials[[#This Row],[Sales]]-financials[[#This Row],[Budget]]</f>
        <v>-986.33699999999953</v>
      </c>
      <c r="O70" s="10">
        <f>(financials[[#This Row],[Sales]]-financials[[#This Row],[Budget]])/financials[[#This Row],[Budget]]</f>
        <v>-2.9126213592232997E-2</v>
      </c>
      <c r="P70" s="6">
        <v>41699</v>
      </c>
      <c r="Q70" s="8">
        <v>3</v>
      </c>
      <c r="R70" s="5" t="s">
        <v>23</v>
      </c>
      <c r="S70" s="7" t="s">
        <v>15</v>
      </c>
    </row>
    <row r="71" spans="1:19" x14ac:dyDescent="0.25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1">
        <v>601389.36</v>
      </c>
      <c r="N71" s="1">
        <f>financials[[#This Row],[Sales]]-financials[[#This Row],[Budget]]</f>
        <v>82007.640000000014</v>
      </c>
      <c r="O71" s="10">
        <f>(financials[[#This Row],[Sales]]-financials[[#This Row],[Budget]])/financials[[#This Row],[Budget]]</f>
        <v>0.13636363636363638</v>
      </c>
      <c r="P71" s="6">
        <v>41730</v>
      </c>
      <c r="Q71" s="8">
        <v>4</v>
      </c>
      <c r="R71" s="5" t="s">
        <v>24</v>
      </c>
      <c r="S71" s="7" t="s">
        <v>15</v>
      </c>
    </row>
    <row r="72" spans="1:19" x14ac:dyDescent="0.25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1">
        <v>25600.805999999997</v>
      </c>
      <c r="N72" s="1">
        <f>financials[[#This Row],[Sales]]-financials[[#This Row],[Budget]]</f>
        <v>1634.094000000001</v>
      </c>
      <c r="O72" s="10">
        <f>(financials[[#This Row],[Sales]]-financials[[#This Row],[Budget]])/financials[[#This Row],[Budget]]</f>
        <v>6.3829787234042604E-2</v>
      </c>
      <c r="P72" s="6">
        <v>41821</v>
      </c>
      <c r="Q72" s="8">
        <v>7</v>
      </c>
      <c r="R72" s="5" t="s">
        <v>27</v>
      </c>
      <c r="S72" s="7" t="s">
        <v>15</v>
      </c>
    </row>
    <row r="73" spans="1:19" x14ac:dyDescent="0.25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1">
        <v>12935.538</v>
      </c>
      <c r="N73" s="1">
        <f>financials[[#This Row],[Sales]]-financials[[#This Row],[Budget]]</f>
        <v>-253.63800000000083</v>
      </c>
      <c r="O73" s="10">
        <f>(financials[[#This Row],[Sales]]-financials[[#This Row],[Budget]])/financials[[#This Row],[Budget]]</f>
        <v>-1.9607843137254964E-2</v>
      </c>
      <c r="P73" s="6">
        <v>41852</v>
      </c>
      <c r="Q73" s="8">
        <v>8</v>
      </c>
      <c r="R73" s="5" t="s">
        <v>28</v>
      </c>
      <c r="S73" s="7" t="s">
        <v>15</v>
      </c>
    </row>
    <row r="74" spans="1:19" x14ac:dyDescent="0.25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1">
        <v>771582.24</v>
      </c>
      <c r="N74" s="1">
        <f>financials[[#This Row],[Sales]]-financials[[#This Row],[Budget]]</f>
        <v>-29676.239999999991</v>
      </c>
      <c r="O74" s="10">
        <f>(financials[[#This Row],[Sales]]-financials[[#This Row],[Budget]])/financials[[#This Row],[Budget]]</f>
        <v>-3.846153846153845E-2</v>
      </c>
      <c r="P74" s="6">
        <v>41518</v>
      </c>
      <c r="Q74" s="8">
        <v>9</v>
      </c>
      <c r="R74" s="5" t="s">
        <v>29</v>
      </c>
      <c r="S74" s="7" t="s">
        <v>14</v>
      </c>
    </row>
    <row r="75" spans="1:19" x14ac:dyDescent="0.25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1">
        <v>76303.012499999997</v>
      </c>
      <c r="N75" s="1">
        <f>financials[[#This Row],[Sales]]-financials[[#This Row],[Budget]]</f>
        <v>5743.2375000000029</v>
      </c>
      <c r="O75" s="10">
        <f>(financials[[#This Row],[Sales]]-financials[[#This Row],[Budget]])/financials[[#This Row],[Budget]]</f>
        <v>7.5268817204301119E-2</v>
      </c>
      <c r="P75" s="6">
        <v>41548</v>
      </c>
      <c r="Q75" s="8">
        <v>10</v>
      </c>
      <c r="R75" s="5" t="s">
        <v>30</v>
      </c>
      <c r="S75" s="7" t="s">
        <v>14</v>
      </c>
    </row>
    <row r="76" spans="1:19" x14ac:dyDescent="0.25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1">
        <v>20234.61</v>
      </c>
      <c r="N76" s="1">
        <f>financials[[#This Row],[Sales]]-financials[[#This Row],[Budget]]</f>
        <v>2248.2900000000009</v>
      </c>
      <c r="O76" s="10">
        <f>(financials[[#This Row],[Sales]]-financials[[#This Row],[Budget]])/financials[[#This Row],[Budget]]</f>
        <v>0.11111111111111115</v>
      </c>
      <c r="P76" s="6">
        <v>41671</v>
      </c>
      <c r="Q76" s="8">
        <v>2</v>
      </c>
      <c r="R76" s="5" t="s">
        <v>22</v>
      </c>
      <c r="S76" s="7" t="s">
        <v>15</v>
      </c>
    </row>
    <row r="77" spans="1:19" x14ac:dyDescent="0.25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1">
        <v>32067.015749999999</v>
      </c>
      <c r="N77" s="1">
        <f>financials[[#This Row],[Sales]]-financials[[#This Row],[Budget]]</f>
        <v>-933.99075000000084</v>
      </c>
      <c r="O77" s="10">
        <f>(financials[[#This Row],[Sales]]-financials[[#This Row],[Budget]])/financials[[#This Row],[Budget]]</f>
        <v>-2.9126213592233038E-2</v>
      </c>
      <c r="P77" s="6">
        <v>41730</v>
      </c>
      <c r="Q77" s="8">
        <v>4</v>
      </c>
      <c r="R77" s="5" t="s">
        <v>24</v>
      </c>
      <c r="S77" s="7" t="s">
        <v>15</v>
      </c>
    </row>
    <row r="78" spans="1:19" x14ac:dyDescent="0.25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1">
        <v>100762.20000000001</v>
      </c>
      <c r="N78" s="1">
        <f>financials[[#This Row],[Sales]]-financials[[#This Row],[Budget]]</f>
        <v>-10795.950000000012</v>
      </c>
      <c r="O78" s="10">
        <f>(financials[[#This Row],[Sales]]-financials[[#This Row],[Budget]])/financials[[#This Row],[Budget]]</f>
        <v>-0.10714285714285725</v>
      </c>
      <c r="P78" s="6">
        <v>41791</v>
      </c>
      <c r="Q78" s="8">
        <v>6</v>
      </c>
      <c r="R78" s="5" t="s">
        <v>26</v>
      </c>
      <c r="S78" s="7" t="s">
        <v>15</v>
      </c>
    </row>
    <row r="79" spans="1:19" x14ac:dyDescent="0.25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1">
        <v>90573.862500000003</v>
      </c>
      <c r="N79" s="1">
        <f>financials[[#This Row],[Sales]]-financials[[#This Row],[Budget]]</f>
        <v>6817.3874999999971</v>
      </c>
      <c r="O79" s="10">
        <f>(financials[[#This Row],[Sales]]-financials[[#This Row],[Budget]])/financials[[#This Row],[Budget]]</f>
        <v>7.5268817204301036E-2</v>
      </c>
      <c r="P79" s="6">
        <v>41791</v>
      </c>
      <c r="Q79" s="8">
        <v>6</v>
      </c>
      <c r="R79" s="5" t="s">
        <v>26</v>
      </c>
      <c r="S79" s="7" t="s">
        <v>15</v>
      </c>
    </row>
    <row r="80" spans="1:19" x14ac:dyDescent="0.25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1">
        <v>252667.80000000002</v>
      </c>
      <c r="N80" s="1">
        <f>financials[[#This Row],[Sales]]-financials[[#This Row],[Budget]]</f>
        <v>-27071.550000000017</v>
      </c>
      <c r="O80" s="10">
        <f>(financials[[#This Row],[Sales]]-financials[[#This Row],[Budget]])/financials[[#This Row],[Budget]]</f>
        <v>-0.10714285714285721</v>
      </c>
      <c r="P80" s="6">
        <v>41821</v>
      </c>
      <c r="Q80" s="8">
        <v>7</v>
      </c>
      <c r="R80" s="5" t="s">
        <v>27</v>
      </c>
      <c r="S80" s="7" t="s">
        <v>15</v>
      </c>
    </row>
    <row r="81" spans="1:19" x14ac:dyDescent="0.25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1">
        <v>10982.020500000001</v>
      </c>
      <c r="N81" s="1">
        <f>financials[[#This Row],[Sales]]-financials[[#This Row],[Budget]]</f>
        <v>110.92950000000019</v>
      </c>
      <c r="O81" s="10">
        <f>(financials[[#This Row],[Sales]]-financials[[#This Row],[Budget]])/financials[[#This Row],[Budget]]</f>
        <v>1.0101010101010117E-2</v>
      </c>
      <c r="P81" s="6">
        <v>41883</v>
      </c>
      <c r="Q81" s="8">
        <v>9</v>
      </c>
      <c r="R81" s="5" t="s">
        <v>29</v>
      </c>
      <c r="S81" s="7" t="s">
        <v>15</v>
      </c>
    </row>
    <row r="82" spans="1:19" x14ac:dyDescent="0.25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1">
        <v>8918.0784000000003</v>
      </c>
      <c r="N82" s="1">
        <f>financials[[#This Row],[Sales]]-financials[[#This Row],[Budget]]</f>
        <v>182.0015999999996</v>
      </c>
      <c r="O82" s="10">
        <f>(financials[[#This Row],[Sales]]-financials[[#This Row],[Budget]])/financials[[#This Row],[Budget]]</f>
        <v>2.0408163265306076E-2</v>
      </c>
      <c r="P82" s="6">
        <v>41548</v>
      </c>
      <c r="Q82" s="8">
        <v>10</v>
      </c>
      <c r="R82" s="5" t="s">
        <v>30</v>
      </c>
      <c r="S82" s="7" t="s">
        <v>14</v>
      </c>
    </row>
    <row r="83" spans="1:19" x14ac:dyDescent="0.25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1">
        <v>983574.89999999991</v>
      </c>
      <c r="N83" s="1">
        <f>financials[[#This Row],[Sales]]-financials[[#This Row],[Budget]]</f>
        <v>-120789.89999999991</v>
      </c>
      <c r="O83" s="10">
        <f>(financials[[#This Row],[Sales]]-financials[[#This Row],[Budget]])/financials[[#This Row],[Budget]]</f>
        <v>-0.12280701754385957</v>
      </c>
      <c r="P83" s="6">
        <v>41944</v>
      </c>
      <c r="Q83" s="8">
        <v>11</v>
      </c>
      <c r="R83" s="5" t="s">
        <v>31</v>
      </c>
      <c r="S83" s="7" t="s">
        <v>15</v>
      </c>
    </row>
    <row r="84" spans="1:19" x14ac:dyDescent="0.25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1">
        <v>657102.6</v>
      </c>
      <c r="N84" s="1">
        <f>financials[[#This Row],[Sales]]-financials[[#This Row],[Budget]]</f>
        <v>89604.900000000023</v>
      </c>
      <c r="O84" s="10">
        <f>(financials[[#This Row],[Sales]]-financials[[#This Row],[Budget]])/financials[[#This Row],[Budget]]</f>
        <v>0.13636363636363641</v>
      </c>
      <c r="P84" s="6">
        <v>41974</v>
      </c>
      <c r="Q84" s="8">
        <v>12</v>
      </c>
      <c r="R84" s="5" t="s">
        <v>32</v>
      </c>
      <c r="S84" s="7" t="s">
        <v>15</v>
      </c>
    </row>
    <row r="85" spans="1:19" x14ac:dyDescent="0.25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1">
        <v>78037.344000000012</v>
      </c>
      <c r="N85" s="1">
        <f>financials[[#This Row],[Sales]]-financials[[#This Row],[Budget]]</f>
        <v>-1530.1440000000002</v>
      </c>
      <c r="O85" s="10">
        <f>(financials[[#This Row],[Sales]]-financials[[#This Row],[Budget]])/financials[[#This Row],[Budget]]</f>
        <v>-1.9607843137254902E-2</v>
      </c>
      <c r="P85" s="6">
        <v>41730</v>
      </c>
      <c r="Q85" s="8">
        <v>4</v>
      </c>
      <c r="R85" s="5" t="s">
        <v>24</v>
      </c>
      <c r="S85" s="7" t="s">
        <v>15</v>
      </c>
    </row>
    <row r="86" spans="1:19" x14ac:dyDescent="0.25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1">
        <v>2132.3609999999999</v>
      </c>
      <c r="N86" s="1">
        <f>financials[[#This Row],[Sales]]-financials[[#This Row],[Budget]]</f>
        <v>376.29899999999998</v>
      </c>
      <c r="O86" s="10">
        <f>(financials[[#This Row],[Sales]]-financials[[#This Row],[Budget]])/financials[[#This Row],[Budget]]</f>
        <v>0.17647058823529413</v>
      </c>
      <c r="P86" s="6">
        <v>41760</v>
      </c>
      <c r="Q86" s="8">
        <v>5</v>
      </c>
      <c r="R86" s="5" t="s">
        <v>25</v>
      </c>
      <c r="S86" s="7" t="s">
        <v>15</v>
      </c>
    </row>
    <row r="87" spans="1:19" x14ac:dyDescent="0.25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1">
        <v>117647.8875</v>
      </c>
      <c r="N87" s="1">
        <f>financials[[#This Row],[Sales]]-financials[[#This Row],[Budget]]</f>
        <v>-3426.6374999999971</v>
      </c>
      <c r="O87" s="10">
        <f>(financials[[#This Row],[Sales]]-financials[[#This Row],[Budget]])/financials[[#This Row],[Budget]]</f>
        <v>-2.9126213592232986E-2</v>
      </c>
      <c r="P87" s="6">
        <v>41852</v>
      </c>
      <c r="Q87" s="8">
        <v>8</v>
      </c>
      <c r="R87" s="5" t="s">
        <v>28</v>
      </c>
      <c r="S87" s="7" t="s">
        <v>15</v>
      </c>
    </row>
    <row r="88" spans="1:19" x14ac:dyDescent="0.25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1">
        <v>82046.25</v>
      </c>
      <c r="N88" s="1">
        <f>financials[[#This Row],[Sales]]-financials[[#This Row],[Budget]]</f>
        <v>0</v>
      </c>
      <c r="O88" s="10">
        <f>(financials[[#This Row],[Sales]]-financials[[#This Row],[Budget]])/financials[[#This Row],[Budget]]</f>
        <v>0</v>
      </c>
      <c r="P88" s="6">
        <v>41548</v>
      </c>
      <c r="Q88" s="8">
        <v>10</v>
      </c>
      <c r="R88" s="5" t="s">
        <v>30</v>
      </c>
      <c r="S88" s="7" t="s">
        <v>14</v>
      </c>
    </row>
    <row r="89" spans="1:19" x14ac:dyDescent="0.25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1">
        <v>12322.925999999999</v>
      </c>
      <c r="N89" s="1">
        <f>financials[[#This Row],[Sales]]-financials[[#This Row],[Budget]]</f>
        <v>2174.634</v>
      </c>
      <c r="O89" s="10">
        <f>(financials[[#This Row],[Sales]]-financials[[#This Row],[Budget]])/financials[[#This Row],[Budget]]</f>
        <v>0.17647058823529413</v>
      </c>
      <c r="P89" s="6">
        <v>41579</v>
      </c>
      <c r="Q89" s="8">
        <v>11</v>
      </c>
      <c r="R89" s="5" t="s">
        <v>31</v>
      </c>
      <c r="S89" s="7" t="s">
        <v>14</v>
      </c>
    </row>
    <row r="90" spans="1:19" x14ac:dyDescent="0.25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1">
        <v>2059.5266999999999</v>
      </c>
      <c r="N90" s="1">
        <f>financials[[#This Row],[Sales]]-financials[[#This Row],[Budget]]</f>
        <v>-236.93669999999997</v>
      </c>
      <c r="O90" s="10">
        <f>(financials[[#This Row],[Sales]]-financials[[#This Row],[Budget]])/financials[[#This Row],[Budget]]</f>
        <v>-0.11504424778761062</v>
      </c>
      <c r="P90" s="6">
        <v>41699</v>
      </c>
      <c r="Q90" s="8">
        <v>3</v>
      </c>
      <c r="R90" s="5" t="s">
        <v>23</v>
      </c>
      <c r="S90" s="7" t="s">
        <v>15</v>
      </c>
    </row>
    <row r="91" spans="1:19" x14ac:dyDescent="0.25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1">
        <v>310576.61249999999</v>
      </c>
      <c r="N91" s="1">
        <f>financials[[#This Row],[Sales]]-financials[[#This Row],[Budget]]</f>
        <v>16346.137500000012</v>
      </c>
      <c r="O91" s="10">
        <f>(financials[[#This Row],[Sales]]-financials[[#This Row],[Budget]])/financials[[#This Row],[Budget]]</f>
        <v>5.263157894736846E-2</v>
      </c>
      <c r="P91" s="6">
        <v>41730</v>
      </c>
      <c r="Q91" s="8">
        <v>4</v>
      </c>
      <c r="R91" s="5" t="s">
        <v>24</v>
      </c>
      <c r="S91" s="7" t="s">
        <v>15</v>
      </c>
    </row>
    <row r="92" spans="1:19" x14ac:dyDescent="0.25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1">
        <v>101661.86249999999</v>
      </c>
      <c r="N92" s="1">
        <f>financials[[#This Row],[Sales]]-financials[[#This Row],[Budget]]</f>
        <v>-11695.612499999988</v>
      </c>
      <c r="O92" s="10">
        <f>(financials[[#This Row],[Sales]]-financials[[#This Row],[Budget]])/financials[[#This Row],[Budget]]</f>
        <v>-0.11504424778761052</v>
      </c>
      <c r="P92" s="6">
        <v>41791</v>
      </c>
      <c r="Q92" s="8">
        <v>6</v>
      </c>
      <c r="R92" s="5" t="s">
        <v>26</v>
      </c>
      <c r="S92" s="7" t="s">
        <v>15</v>
      </c>
    </row>
    <row r="93" spans="1:19" x14ac:dyDescent="0.25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1">
        <v>96417.337499999994</v>
      </c>
      <c r="N93" s="1">
        <f>financials[[#This Row],[Sales]]-financials[[#This Row],[Budget]]</f>
        <v>973.91250000000582</v>
      </c>
      <c r="O93" s="10">
        <f>(financials[[#This Row],[Sales]]-financials[[#This Row],[Budget]])/financials[[#This Row],[Budget]]</f>
        <v>1.0101010101010163E-2</v>
      </c>
      <c r="P93" s="6">
        <v>41791</v>
      </c>
      <c r="Q93" s="8">
        <v>6</v>
      </c>
      <c r="R93" s="5" t="s">
        <v>26</v>
      </c>
      <c r="S93" s="7" t="s">
        <v>15</v>
      </c>
    </row>
    <row r="94" spans="1:19" x14ac:dyDescent="0.25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1">
        <v>330911.45999999996</v>
      </c>
      <c r="N94" s="1">
        <f>financials[[#This Row],[Sales]]-financials[[#This Row],[Budget]]</f>
        <v>-38069.459999999963</v>
      </c>
      <c r="O94" s="10">
        <f>(financials[[#This Row],[Sales]]-financials[[#This Row],[Budget]])/financials[[#This Row],[Budget]]</f>
        <v>-0.11504424778761052</v>
      </c>
      <c r="P94" s="6">
        <v>41883</v>
      </c>
      <c r="Q94" s="8">
        <v>9</v>
      </c>
      <c r="R94" s="5" t="s">
        <v>29</v>
      </c>
      <c r="S94" s="7" t="s">
        <v>15</v>
      </c>
    </row>
    <row r="95" spans="1:19" x14ac:dyDescent="0.25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1">
        <v>133513.38</v>
      </c>
      <c r="N95" s="1">
        <f>financials[[#This Row],[Sales]]-financials[[#This Row],[Budget]]</f>
        <v>13204.619999999995</v>
      </c>
      <c r="O95" s="10">
        <f>(financials[[#This Row],[Sales]]-financials[[#This Row],[Budget]])/financials[[#This Row],[Budget]]</f>
        <v>9.8901098901098869E-2</v>
      </c>
      <c r="P95" s="6">
        <v>41548</v>
      </c>
      <c r="Q95" s="8">
        <v>10</v>
      </c>
      <c r="R95" s="5" t="s">
        <v>30</v>
      </c>
      <c r="S95" s="7" t="s">
        <v>14</v>
      </c>
    </row>
    <row r="96" spans="1:19" x14ac:dyDescent="0.25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1">
        <v>527625.94500000007</v>
      </c>
      <c r="N96" s="1">
        <f>financials[[#This Row],[Sales]]-financials[[#This Row],[Budget]]</f>
        <v>-43565.445000000065</v>
      </c>
      <c r="O96" s="10">
        <f>(financials[[#This Row],[Sales]]-financials[[#This Row],[Budget]])/financials[[#This Row],[Budget]]</f>
        <v>-8.2568807339449657E-2</v>
      </c>
      <c r="P96" s="6">
        <v>41913</v>
      </c>
      <c r="Q96" s="8">
        <v>10</v>
      </c>
      <c r="R96" s="5" t="s">
        <v>30</v>
      </c>
      <c r="S96" s="7" t="s">
        <v>15</v>
      </c>
    </row>
    <row r="97" spans="1:19" x14ac:dyDescent="0.25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1">
        <v>196396.2</v>
      </c>
      <c r="N97" s="1">
        <f>financials[[#This Row],[Sales]]-financials[[#This Row],[Budget]]</f>
        <v>19423.799999999988</v>
      </c>
      <c r="O97" s="10">
        <f>(financials[[#This Row],[Sales]]-financials[[#This Row],[Budget]])/financials[[#This Row],[Budget]]</f>
        <v>9.8901098901098841E-2</v>
      </c>
      <c r="P97" s="6">
        <v>41944</v>
      </c>
      <c r="Q97" s="8">
        <v>11</v>
      </c>
      <c r="R97" s="5" t="s">
        <v>31</v>
      </c>
      <c r="S97" s="7" t="s">
        <v>15</v>
      </c>
    </row>
    <row r="98" spans="1:19" x14ac:dyDescent="0.25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1">
        <v>26937.424799999997</v>
      </c>
      <c r="N98" s="1">
        <f>financials[[#This Row],[Sales]]-financials[[#This Row],[Budget]]</f>
        <v>-3308.1047999999973</v>
      </c>
      <c r="O98" s="10">
        <f>(financials[[#This Row],[Sales]]-financials[[#This Row],[Budget]])/financials[[#This Row],[Budget]]</f>
        <v>-0.12280701754385956</v>
      </c>
      <c r="P98" s="6">
        <v>41518</v>
      </c>
      <c r="Q98" s="8">
        <v>9</v>
      </c>
      <c r="R98" s="5" t="s">
        <v>29</v>
      </c>
      <c r="S98" s="7" t="s">
        <v>14</v>
      </c>
    </row>
    <row r="99" spans="1:19" x14ac:dyDescent="0.25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1">
        <v>5386.5405000000001</v>
      </c>
      <c r="N99" s="1">
        <f>financials[[#This Row],[Sales]]-financials[[#This Row],[Budget]]</f>
        <v>-619.6904999999997</v>
      </c>
      <c r="O99" s="10">
        <f>(financials[[#This Row],[Sales]]-financials[[#This Row],[Budget]])/financials[[#This Row],[Budget]]</f>
        <v>-0.11504424778761056</v>
      </c>
      <c r="P99" s="6">
        <v>41579</v>
      </c>
      <c r="Q99" s="8">
        <v>11</v>
      </c>
      <c r="R99" s="5" t="s">
        <v>31</v>
      </c>
      <c r="S99" s="7" t="s">
        <v>14</v>
      </c>
    </row>
    <row r="100" spans="1:19" x14ac:dyDescent="0.25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1">
        <v>94594.5</v>
      </c>
      <c r="N100" s="1">
        <f>financials[[#This Row],[Sales]]-financials[[#This Row],[Budget]]</f>
        <v>-3638.25</v>
      </c>
      <c r="O100" s="10">
        <f>(financials[[#This Row],[Sales]]-financials[[#This Row],[Budget]])/financials[[#This Row],[Budget]]</f>
        <v>-3.8461538461538464E-2</v>
      </c>
      <c r="P100" s="6">
        <v>41730</v>
      </c>
      <c r="Q100" s="8">
        <v>4</v>
      </c>
      <c r="R100" s="5" t="s">
        <v>24</v>
      </c>
      <c r="S100" s="7" t="s">
        <v>15</v>
      </c>
    </row>
    <row r="101" spans="1:19" x14ac:dyDescent="0.25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1">
        <v>13858.572000000002</v>
      </c>
      <c r="N101" s="1">
        <f>financials[[#This Row],[Sales]]-financials[[#This Row],[Budget]]</f>
        <v>1370.6279999999988</v>
      </c>
      <c r="O101" s="10">
        <f>(financials[[#This Row],[Sales]]-financials[[#This Row],[Budget]])/financials[[#This Row],[Budget]]</f>
        <v>9.89010989010988E-2</v>
      </c>
      <c r="P101" s="6">
        <v>41913</v>
      </c>
      <c r="Q101" s="8">
        <v>10</v>
      </c>
      <c r="R101" s="5" t="s">
        <v>30</v>
      </c>
      <c r="S101" s="7" t="s">
        <v>15</v>
      </c>
    </row>
    <row r="102" spans="1:19" x14ac:dyDescent="0.25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1">
        <v>63545.16</v>
      </c>
      <c r="N102" s="1">
        <f>financials[[#This Row],[Sales]]-financials[[#This Row],[Budget]]</f>
        <v>-629.16000000000349</v>
      </c>
      <c r="O102" s="10">
        <f>(financials[[#This Row],[Sales]]-financials[[#This Row],[Budget]])/financials[[#This Row],[Budget]]</f>
        <v>-9.9009900990099549E-3</v>
      </c>
      <c r="P102" s="6">
        <v>41548</v>
      </c>
      <c r="Q102" s="8">
        <v>10</v>
      </c>
      <c r="R102" s="5" t="s">
        <v>30</v>
      </c>
      <c r="S102" s="7" t="s">
        <v>14</v>
      </c>
    </row>
    <row r="103" spans="1:19" x14ac:dyDescent="0.25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1">
        <v>13684.671000000002</v>
      </c>
      <c r="N103" s="1">
        <f>financials[[#This Row],[Sales]]-financials[[#This Row],[Budget]]</f>
        <v>1030.0289999999986</v>
      </c>
      <c r="O103" s="10">
        <f>(financials[[#This Row],[Sales]]-financials[[#This Row],[Budget]])/financials[[#This Row],[Budget]]</f>
        <v>7.5268817204300967E-2</v>
      </c>
      <c r="P103" s="6">
        <v>41579</v>
      </c>
      <c r="Q103" s="8">
        <v>11</v>
      </c>
      <c r="R103" s="5" t="s">
        <v>31</v>
      </c>
      <c r="S103" s="7" t="s">
        <v>14</v>
      </c>
    </row>
    <row r="104" spans="1:19" x14ac:dyDescent="0.25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1">
        <v>1046712.52</v>
      </c>
      <c r="N104" s="1">
        <f>financials[[#This Row],[Sales]]-financials[[#This Row],[Budget]]</f>
        <v>-68476.520000000019</v>
      </c>
      <c r="O104" s="10">
        <f>(financials[[#This Row],[Sales]]-financials[[#This Row],[Budget]])/financials[[#This Row],[Budget]]</f>
        <v>-6.5420560747663573E-2</v>
      </c>
      <c r="P104" s="6">
        <v>41974</v>
      </c>
      <c r="Q104" s="8">
        <v>12</v>
      </c>
      <c r="R104" s="5" t="s">
        <v>32</v>
      </c>
      <c r="S104" s="7" t="s">
        <v>15</v>
      </c>
    </row>
    <row r="105" spans="1:19" x14ac:dyDescent="0.25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1">
        <v>14101.416000000001</v>
      </c>
      <c r="N105" s="1">
        <f>financials[[#This Row],[Sales]]-financials[[#This Row],[Budget]]</f>
        <v>-671.496000000001</v>
      </c>
      <c r="O105" s="10">
        <f>(financials[[#This Row],[Sales]]-financials[[#This Row],[Budget]])/financials[[#This Row],[Budget]]</f>
        <v>-4.7619047619047686E-2</v>
      </c>
      <c r="P105" s="6">
        <v>41791</v>
      </c>
      <c r="Q105" s="8">
        <v>6</v>
      </c>
      <c r="R105" s="5" t="s">
        <v>26</v>
      </c>
      <c r="S105" s="7" t="s">
        <v>15</v>
      </c>
    </row>
    <row r="106" spans="1:19" x14ac:dyDescent="0.25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1">
        <v>33149.088000000003</v>
      </c>
      <c r="N106" s="1">
        <f>financials[[#This Row],[Sales]]-financials[[#This Row],[Budget]]</f>
        <v>-2455.4880000000048</v>
      </c>
      <c r="O106" s="10">
        <f>(financials[[#This Row],[Sales]]-financials[[#This Row],[Budget]])/financials[[#This Row],[Budget]]</f>
        <v>-7.4074074074074209E-2</v>
      </c>
      <c r="P106" s="6">
        <v>41913</v>
      </c>
      <c r="Q106" s="8">
        <v>10</v>
      </c>
      <c r="R106" s="5" t="s">
        <v>30</v>
      </c>
      <c r="S106" s="7" t="s">
        <v>15</v>
      </c>
    </row>
    <row r="107" spans="1:19" x14ac:dyDescent="0.25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1">
        <v>8520.1200000000008</v>
      </c>
      <c r="N107" s="1">
        <f>financials[[#This Row],[Sales]]-financials[[#This Row],[Budget]]</f>
        <v>-405.72000000000116</v>
      </c>
      <c r="O107" s="10">
        <f>(financials[[#This Row],[Sales]]-financials[[#This Row],[Budget]])/financials[[#This Row],[Budget]]</f>
        <v>-4.7619047619047748E-2</v>
      </c>
      <c r="P107" s="6">
        <v>41944</v>
      </c>
      <c r="Q107" s="8">
        <v>11</v>
      </c>
      <c r="R107" s="5" t="s">
        <v>31</v>
      </c>
      <c r="S107" s="7" t="s">
        <v>15</v>
      </c>
    </row>
    <row r="108" spans="1:19" x14ac:dyDescent="0.25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1">
        <v>187082</v>
      </c>
      <c r="N108" s="1">
        <f>financials[[#This Row],[Sales]]-financials[[#This Row],[Budget]]</f>
        <v>16268</v>
      </c>
      <c r="O108" s="10">
        <f>(financials[[#This Row],[Sales]]-financials[[#This Row],[Budget]])/financials[[#This Row],[Budget]]</f>
        <v>8.6956521739130432E-2</v>
      </c>
      <c r="P108" s="6">
        <v>41579</v>
      </c>
      <c r="Q108" s="8">
        <v>11</v>
      </c>
      <c r="R108" s="5" t="s">
        <v>31</v>
      </c>
      <c r="S108" s="7" t="s">
        <v>14</v>
      </c>
    </row>
    <row r="109" spans="1:19" x14ac:dyDescent="0.25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1">
        <v>34041.377999999997</v>
      </c>
      <c r="N109" s="1">
        <f>financials[[#This Row],[Sales]]-financials[[#This Row],[Budget]]</f>
        <v>694.72200000000157</v>
      </c>
      <c r="O109" s="10">
        <f>(financials[[#This Row],[Sales]]-financials[[#This Row],[Budget]])/financials[[#This Row],[Budget]]</f>
        <v>2.0408163265306169E-2</v>
      </c>
      <c r="P109" s="6">
        <v>41671</v>
      </c>
      <c r="Q109" s="8">
        <v>2</v>
      </c>
      <c r="R109" s="5" t="s">
        <v>22</v>
      </c>
      <c r="S109" s="7" t="s">
        <v>15</v>
      </c>
    </row>
    <row r="110" spans="1:19" x14ac:dyDescent="0.25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1">
        <v>253698.47999999998</v>
      </c>
      <c r="N110" s="1">
        <f>financials[[#This Row],[Sales]]-financials[[#This Row],[Budget]]</f>
        <v>16193.520000000019</v>
      </c>
      <c r="O110" s="10">
        <f>(financials[[#This Row],[Sales]]-financials[[#This Row],[Budget]])/financials[[#This Row],[Budget]]</f>
        <v>6.3829787234042631E-2</v>
      </c>
      <c r="P110" s="6">
        <v>41760</v>
      </c>
      <c r="Q110" s="8">
        <v>5</v>
      </c>
      <c r="R110" s="5" t="s">
        <v>25</v>
      </c>
      <c r="S110" s="7" t="s">
        <v>15</v>
      </c>
    </row>
    <row r="111" spans="1:19" x14ac:dyDescent="0.25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1">
        <v>579156.47999999998</v>
      </c>
      <c r="N111" s="1">
        <f>financials[[#This Row],[Sales]]-financials[[#This Row],[Budget]]</f>
        <v>-71124.479999999981</v>
      </c>
      <c r="O111" s="10">
        <f>(financials[[#This Row],[Sales]]-financials[[#This Row],[Budget]])/financials[[#This Row],[Budget]]</f>
        <v>-0.12280701754385961</v>
      </c>
      <c r="P111" s="6">
        <v>41760</v>
      </c>
      <c r="Q111" s="8">
        <v>5</v>
      </c>
      <c r="R111" s="5" t="s">
        <v>25</v>
      </c>
      <c r="S111" s="7" t="s">
        <v>15</v>
      </c>
    </row>
    <row r="112" spans="1:19" x14ac:dyDescent="0.25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1">
        <v>13564.2192</v>
      </c>
      <c r="N112" s="1">
        <f>financials[[#This Row],[Sales]]-financials[[#This Row],[Budget]]</f>
        <v>-134.29919999999947</v>
      </c>
      <c r="O112" s="10">
        <f>(financials[[#This Row],[Sales]]-financials[[#This Row],[Budget]])/financials[[#This Row],[Budget]]</f>
        <v>-9.9009900990098629E-3</v>
      </c>
      <c r="P112" s="6">
        <v>41791</v>
      </c>
      <c r="Q112" s="8">
        <v>6</v>
      </c>
      <c r="R112" s="5" t="s">
        <v>26</v>
      </c>
      <c r="S112" s="7" t="s">
        <v>15</v>
      </c>
    </row>
    <row r="113" spans="1:19" x14ac:dyDescent="0.25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1">
        <v>82716.899999999994</v>
      </c>
      <c r="N113" s="1">
        <f>financials[[#This Row],[Sales]]-financials[[#This Row],[Budget]]</f>
        <v>-1621.8999999999942</v>
      </c>
      <c r="O113" s="10">
        <f>(financials[[#This Row],[Sales]]-financials[[#This Row],[Budget]])/financials[[#This Row],[Budget]]</f>
        <v>-1.9607843137254832E-2</v>
      </c>
      <c r="P113" s="6">
        <v>41791</v>
      </c>
      <c r="Q113" s="8">
        <v>6</v>
      </c>
      <c r="R113" s="5" t="s">
        <v>26</v>
      </c>
      <c r="S113" s="7" t="s">
        <v>15</v>
      </c>
    </row>
    <row r="114" spans="1:19" x14ac:dyDescent="0.25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1">
        <v>15838.368</v>
      </c>
      <c r="N114" s="1">
        <f>financials[[#This Row],[Sales]]-financials[[#This Row],[Budget]]</f>
        <v>-609.16799999999967</v>
      </c>
      <c r="O114" s="10">
        <f>(financials[[#This Row],[Sales]]-financials[[#This Row],[Budget]])/financials[[#This Row],[Budget]]</f>
        <v>-3.8461538461538443E-2</v>
      </c>
      <c r="P114" s="6">
        <v>41913</v>
      </c>
      <c r="Q114" s="8">
        <v>10</v>
      </c>
      <c r="R114" s="5" t="s">
        <v>30</v>
      </c>
      <c r="S114" s="7" t="s">
        <v>15</v>
      </c>
    </row>
    <row r="115" spans="1:19" x14ac:dyDescent="0.25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1">
        <v>102075.575</v>
      </c>
      <c r="N115" s="1">
        <f>financials[[#This Row],[Sales]]-financials[[#This Row],[Budget]]</f>
        <v>-2973.0749999999971</v>
      </c>
      <c r="O115" s="10">
        <f>(financials[[#This Row],[Sales]]-financials[[#This Row],[Budget]])/financials[[#This Row],[Budget]]</f>
        <v>-2.9126213592232983E-2</v>
      </c>
      <c r="P115" s="6">
        <v>41548</v>
      </c>
      <c r="Q115" s="8">
        <v>10</v>
      </c>
      <c r="R115" s="5" t="s">
        <v>30</v>
      </c>
      <c r="S115" s="7" t="s">
        <v>14</v>
      </c>
    </row>
    <row r="116" spans="1:19" x14ac:dyDescent="0.25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1">
        <v>294294</v>
      </c>
      <c r="N116" s="1">
        <f>financials[[#This Row],[Sales]]-financials[[#This Row],[Budget]]</f>
        <v>-31531.5</v>
      </c>
      <c r="O116" s="10">
        <f>(financials[[#This Row],[Sales]]-financials[[#This Row],[Budget]])/financials[[#This Row],[Budget]]</f>
        <v>-0.10714285714285714</v>
      </c>
      <c r="P116" s="6">
        <v>41548</v>
      </c>
      <c r="Q116" s="8">
        <v>10</v>
      </c>
      <c r="R116" s="5" t="s">
        <v>30</v>
      </c>
      <c r="S116" s="7" t="s">
        <v>14</v>
      </c>
    </row>
    <row r="117" spans="1:19" x14ac:dyDescent="0.25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1">
        <v>23720.507999999994</v>
      </c>
      <c r="N117" s="1">
        <f>financials[[#This Row],[Sales]]-financials[[#This Row],[Budget]]</f>
        <v>-2728.9079999999958</v>
      </c>
      <c r="O117" s="10">
        <f>(financials[[#This Row],[Sales]]-financials[[#This Row],[Budget]])/financials[[#This Row],[Budget]]</f>
        <v>-0.11504424778761047</v>
      </c>
      <c r="P117" s="6">
        <v>41579</v>
      </c>
      <c r="Q117" s="8">
        <v>11</v>
      </c>
      <c r="R117" s="5" t="s">
        <v>31</v>
      </c>
      <c r="S117" s="7" t="s">
        <v>14</v>
      </c>
    </row>
    <row r="118" spans="1:19" x14ac:dyDescent="0.25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1">
        <v>478808.39999999997</v>
      </c>
      <c r="N118" s="1">
        <f>financials[[#This Row],[Sales]]-financials[[#This Row],[Budget]]</f>
        <v>84495.600000000035</v>
      </c>
      <c r="O118" s="10">
        <f>(financials[[#This Row],[Sales]]-financials[[#This Row],[Budget]])/financials[[#This Row],[Budget]]</f>
        <v>0.17647058823529421</v>
      </c>
      <c r="P118" s="6">
        <v>41974</v>
      </c>
      <c r="Q118" s="8">
        <v>12</v>
      </c>
      <c r="R118" s="5" t="s">
        <v>32</v>
      </c>
      <c r="S118" s="7" t="s">
        <v>15</v>
      </c>
    </row>
    <row r="119" spans="1:19" x14ac:dyDescent="0.25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1">
        <v>929324.2</v>
      </c>
      <c r="N119" s="1">
        <f>financials[[#This Row],[Sales]]-financials[[#This Row],[Budget]]</f>
        <v>48911.800000000047</v>
      </c>
      <c r="O119" s="10">
        <f>(financials[[#This Row],[Sales]]-financials[[#This Row],[Budget]])/financials[[#This Row],[Budget]]</f>
        <v>5.2631578947368474E-2</v>
      </c>
      <c r="P119" s="6">
        <v>41974</v>
      </c>
      <c r="Q119" s="8">
        <v>12</v>
      </c>
      <c r="R119" s="5" t="s">
        <v>32</v>
      </c>
      <c r="S119" s="7" t="s">
        <v>15</v>
      </c>
    </row>
    <row r="120" spans="1:19" x14ac:dyDescent="0.25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1">
        <v>304215.27500000002</v>
      </c>
      <c r="N120" s="1">
        <f>financials[[#This Row],[Sales]]-financials[[#This Row],[Budget]]</f>
        <v>30087.224999999977</v>
      </c>
      <c r="O120" s="10">
        <f>(financials[[#This Row],[Sales]]-financials[[#This Row],[Budget]])/financials[[#This Row],[Budget]]</f>
        <v>9.8901098901098813E-2</v>
      </c>
      <c r="P120" s="6">
        <v>41974</v>
      </c>
      <c r="Q120" s="8">
        <v>12</v>
      </c>
      <c r="R120" s="5" t="s">
        <v>32</v>
      </c>
      <c r="S120" s="7" t="s">
        <v>15</v>
      </c>
    </row>
    <row r="121" spans="1:19" x14ac:dyDescent="0.25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1">
        <v>26033.7</v>
      </c>
      <c r="N121" s="1">
        <f>financials[[#This Row],[Sales]]-financials[[#This Row],[Budget]]</f>
        <v>2263.7999999999993</v>
      </c>
      <c r="O121" s="10">
        <f>(financials[[#This Row],[Sales]]-financials[[#This Row],[Budget]])/financials[[#This Row],[Budget]]</f>
        <v>8.6956521739130405E-2</v>
      </c>
      <c r="P121" s="6">
        <v>41609</v>
      </c>
      <c r="Q121" s="8">
        <v>12</v>
      </c>
      <c r="R121" s="5" t="s">
        <v>32</v>
      </c>
      <c r="S121" s="7" t="s">
        <v>14</v>
      </c>
    </row>
    <row r="122" spans="1:19" x14ac:dyDescent="0.25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1">
        <v>14223.455400000001</v>
      </c>
      <c r="N122" s="1">
        <f>financials[[#This Row],[Sales]]-financials[[#This Row],[Budget]]</f>
        <v>-414.27540000000045</v>
      </c>
      <c r="O122" s="10">
        <f>(financials[[#This Row],[Sales]]-financials[[#This Row],[Budget]])/financials[[#This Row],[Budget]]</f>
        <v>-2.9126213592233038E-2</v>
      </c>
      <c r="P122" s="6">
        <v>41609</v>
      </c>
      <c r="Q122" s="8">
        <v>12</v>
      </c>
      <c r="R122" s="5" t="s">
        <v>32</v>
      </c>
      <c r="S122" s="7" t="s">
        <v>14</v>
      </c>
    </row>
    <row r="123" spans="1:19" x14ac:dyDescent="0.25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1">
        <v>11290.188</v>
      </c>
      <c r="N123" s="1">
        <f>financials[[#This Row],[Sales]]-financials[[#This Row],[Budget]]</f>
        <v>1116.6119999999992</v>
      </c>
      <c r="O123" s="10">
        <f>(financials[[#This Row],[Sales]]-financials[[#This Row],[Budget]])/financials[[#This Row],[Budget]]</f>
        <v>9.8901098901098827E-2</v>
      </c>
      <c r="P123" s="6">
        <v>41974</v>
      </c>
      <c r="Q123" s="8">
        <v>12</v>
      </c>
      <c r="R123" s="5" t="s">
        <v>32</v>
      </c>
      <c r="S123" s="7" t="s">
        <v>15</v>
      </c>
    </row>
    <row r="124" spans="1:19" x14ac:dyDescent="0.25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1">
        <v>14277.580800000002</v>
      </c>
      <c r="N124" s="1">
        <f>financials[[#This Row],[Sales]]-financials[[#This Row],[Budget]]</f>
        <v>-1529.7408000000014</v>
      </c>
      <c r="O124" s="10">
        <f>(financials[[#This Row],[Sales]]-financials[[#This Row],[Budget]])/financials[[#This Row],[Budget]]</f>
        <v>-0.10714285714285723</v>
      </c>
      <c r="P124" s="6">
        <v>41974</v>
      </c>
      <c r="Q124" s="8">
        <v>12</v>
      </c>
      <c r="R124" s="5" t="s">
        <v>32</v>
      </c>
      <c r="S124" s="7" t="s">
        <v>15</v>
      </c>
    </row>
    <row r="125" spans="1:19" x14ac:dyDescent="0.25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1">
        <v>33762.959999999999</v>
      </c>
      <c r="N125" s="1">
        <f>financials[[#This Row],[Sales]]-financials[[#This Row],[Budget]]</f>
        <v>-3069.3600000000006</v>
      </c>
      <c r="O125" s="10">
        <f>(financials[[#This Row],[Sales]]-financials[[#This Row],[Budget]])/financials[[#This Row],[Budget]]</f>
        <v>-9.0909090909090925E-2</v>
      </c>
      <c r="P125" s="6">
        <v>41913</v>
      </c>
      <c r="Q125" s="8">
        <v>10</v>
      </c>
      <c r="R125" s="5" t="s">
        <v>30</v>
      </c>
      <c r="S125" s="7" t="s">
        <v>15</v>
      </c>
    </row>
    <row r="126" spans="1:19" x14ac:dyDescent="0.25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1">
        <v>1149591.94</v>
      </c>
      <c r="N126" s="1">
        <f>financials[[#This Row],[Sales]]-financials[[#This Row],[Budget]]</f>
        <v>-132253.93999999994</v>
      </c>
      <c r="O126" s="10">
        <f>(financials[[#This Row],[Sales]]-financials[[#This Row],[Budget]])/financials[[#This Row],[Budget]]</f>
        <v>-0.11504424778761058</v>
      </c>
      <c r="P126" s="6">
        <v>41548</v>
      </c>
      <c r="Q126" s="8">
        <v>10</v>
      </c>
      <c r="R126" s="5" t="s">
        <v>30</v>
      </c>
      <c r="S126" s="7" t="s">
        <v>14</v>
      </c>
    </row>
    <row r="127" spans="1:19" x14ac:dyDescent="0.25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1">
        <v>1124964.5399999998</v>
      </c>
      <c r="N127" s="1">
        <f>financials[[#This Row],[Sales]]-financials[[#This Row],[Budget]]</f>
        <v>-138153.5399999998</v>
      </c>
      <c r="O127" s="10">
        <f>(financials[[#This Row],[Sales]]-financials[[#This Row],[Budget]])/financials[[#This Row],[Budget]]</f>
        <v>-0.1228070175438595</v>
      </c>
      <c r="P127" s="6">
        <v>41913</v>
      </c>
      <c r="Q127" s="8">
        <v>10</v>
      </c>
      <c r="R127" s="5" t="s">
        <v>30</v>
      </c>
      <c r="S127" s="7" t="s">
        <v>15</v>
      </c>
    </row>
    <row r="128" spans="1:19" x14ac:dyDescent="0.25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1">
        <v>106039.675</v>
      </c>
      <c r="N128" s="1">
        <f>financials[[#This Row],[Sales]]-financials[[#This Row],[Budget]]</f>
        <v>-6937.1750000000029</v>
      </c>
      <c r="O128" s="10">
        <f>(financials[[#This Row],[Sales]]-financials[[#This Row],[Budget]])/financials[[#This Row],[Budget]]</f>
        <v>-6.5420560747663573E-2</v>
      </c>
      <c r="P128" s="6">
        <v>41548</v>
      </c>
      <c r="Q128" s="8">
        <v>10</v>
      </c>
      <c r="R128" s="5" t="s">
        <v>30</v>
      </c>
      <c r="S128" s="7" t="s">
        <v>14</v>
      </c>
    </row>
    <row r="129" spans="1:19" x14ac:dyDescent="0.25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1">
        <v>231231</v>
      </c>
      <c r="N129" s="1">
        <f>financials[[#This Row],[Sales]]-financials[[#This Row],[Budget]]</f>
        <v>31531.5</v>
      </c>
      <c r="O129" s="10">
        <f>(financials[[#This Row],[Sales]]-financials[[#This Row],[Budget]])/financials[[#This Row],[Budget]]</f>
        <v>0.13636363636363635</v>
      </c>
      <c r="P129" s="6">
        <v>41548</v>
      </c>
      <c r="Q129" s="8">
        <v>10</v>
      </c>
      <c r="R129" s="5" t="s">
        <v>30</v>
      </c>
      <c r="S129" s="7" t="s">
        <v>14</v>
      </c>
    </row>
    <row r="130" spans="1:19" x14ac:dyDescent="0.25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1">
        <v>13647.48</v>
      </c>
      <c r="N130" s="1">
        <f>financials[[#This Row],[Sales]]-financials[[#This Row],[Budget]]</f>
        <v>-1240.6800000000003</v>
      </c>
      <c r="O130" s="10">
        <f>(financials[[#This Row],[Sales]]-financials[[#This Row],[Budget]])/financials[[#This Row],[Budget]]</f>
        <v>-9.0909090909090939E-2</v>
      </c>
      <c r="P130" s="6">
        <v>41974</v>
      </c>
      <c r="Q130" s="8">
        <v>12</v>
      </c>
      <c r="R130" s="5" t="s">
        <v>32</v>
      </c>
      <c r="S130" s="7" t="s">
        <v>15</v>
      </c>
    </row>
    <row r="131" spans="1:19" x14ac:dyDescent="0.25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1">
        <v>9916.0320000000011</v>
      </c>
      <c r="N131" s="1">
        <f>financials[[#This Row],[Sales]]-financials[[#This Row],[Budget]]</f>
        <v>746.36799999999857</v>
      </c>
      <c r="O131" s="10">
        <f>(financials[[#This Row],[Sales]]-financials[[#This Row],[Budget]])/financials[[#This Row],[Budget]]</f>
        <v>7.5268817204300925E-2</v>
      </c>
      <c r="P131" s="6">
        <v>41609</v>
      </c>
      <c r="Q131" s="8">
        <v>12</v>
      </c>
      <c r="R131" s="5" t="s">
        <v>32</v>
      </c>
      <c r="S131" s="7" t="s">
        <v>14</v>
      </c>
    </row>
    <row r="132" spans="1:19" x14ac:dyDescent="0.25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1">
        <v>13767.667200000002</v>
      </c>
      <c r="N132" s="1">
        <f>financials[[#This Row],[Sales]]-financials[[#This Row],[Budget]]</f>
        <v>-1019.8272000000015</v>
      </c>
      <c r="O132" s="10">
        <f>(financials[[#This Row],[Sales]]-financials[[#This Row],[Budget]])/financials[[#This Row],[Budget]]</f>
        <v>-7.4074074074074181E-2</v>
      </c>
      <c r="P132" s="6">
        <v>41974</v>
      </c>
      <c r="Q132" s="8">
        <v>12</v>
      </c>
      <c r="R132" s="5" t="s">
        <v>32</v>
      </c>
      <c r="S132" s="7" t="s">
        <v>15</v>
      </c>
    </row>
    <row r="133" spans="1:19" x14ac:dyDescent="0.25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1">
        <v>93259.25</v>
      </c>
      <c r="N133" s="1">
        <f>financials[[#This Row],[Sales]]-financials[[#This Row],[Budget]]</f>
        <v>-12164.25</v>
      </c>
      <c r="O133" s="10">
        <f>(financials[[#This Row],[Sales]]-financials[[#This Row],[Budget]])/financials[[#This Row],[Budget]]</f>
        <v>-0.13043478260869565</v>
      </c>
      <c r="P133" s="6">
        <v>41791</v>
      </c>
      <c r="Q133" s="8">
        <v>6</v>
      </c>
      <c r="R133" s="5" t="s">
        <v>26</v>
      </c>
      <c r="S133" s="7" t="s">
        <v>15</v>
      </c>
    </row>
    <row r="134" spans="1:19" x14ac:dyDescent="0.25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1">
        <v>65432.639999999999</v>
      </c>
      <c r="N134" s="1">
        <f>financials[[#This Row],[Sales]]-financials[[#This Row],[Budget]]</f>
        <v>-2516.6399999999994</v>
      </c>
      <c r="O134" s="10">
        <f>(financials[[#This Row],[Sales]]-financials[[#This Row],[Budget]])/financials[[#This Row],[Budget]]</f>
        <v>-3.846153846153845E-2</v>
      </c>
      <c r="P134" s="6">
        <v>41548</v>
      </c>
      <c r="Q134" s="8">
        <v>10</v>
      </c>
      <c r="R134" s="5" t="s">
        <v>30</v>
      </c>
      <c r="S134" s="7" t="s">
        <v>14</v>
      </c>
    </row>
    <row r="135" spans="1:19" x14ac:dyDescent="0.25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1">
        <v>947338.55999999994</v>
      </c>
      <c r="N135" s="1">
        <f>financials[[#This Row],[Sales]]-financials[[#This Row],[Budget]]</f>
        <v>39472.440000000061</v>
      </c>
      <c r="O135" s="10">
        <f>(financials[[#This Row],[Sales]]-financials[[#This Row],[Budget]])/financials[[#This Row],[Budget]]</f>
        <v>4.1666666666666734E-2</v>
      </c>
      <c r="P135" s="6">
        <v>41913</v>
      </c>
      <c r="Q135" s="8">
        <v>10</v>
      </c>
      <c r="R135" s="5" t="s">
        <v>30</v>
      </c>
      <c r="S135" s="7" t="s">
        <v>15</v>
      </c>
    </row>
    <row r="136" spans="1:19" x14ac:dyDescent="0.25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1">
        <v>330959.47499999998</v>
      </c>
      <c r="N136" s="1">
        <f>financials[[#This Row],[Sales]]-financials[[#This Row],[Budget]]</f>
        <v>3343.0250000000233</v>
      </c>
      <c r="O136" s="10">
        <f>(financials[[#This Row],[Sales]]-financials[[#This Row],[Budget]])/financials[[#This Row],[Budget]]</f>
        <v>1.0101010101010171E-2</v>
      </c>
      <c r="P136" s="6">
        <v>41974</v>
      </c>
      <c r="Q136" s="8">
        <v>12</v>
      </c>
      <c r="R136" s="5" t="s">
        <v>32</v>
      </c>
      <c r="S136" s="7" t="s">
        <v>15</v>
      </c>
    </row>
    <row r="137" spans="1:19" x14ac:dyDescent="0.25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1">
        <v>104011.31999999999</v>
      </c>
      <c r="N137" s="1">
        <f>financials[[#This Row],[Sales]]-financials[[#This Row],[Budget]]</f>
        <v>-12773.319999999992</v>
      </c>
      <c r="O137" s="10">
        <f>(financials[[#This Row],[Sales]]-financials[[#This Row],[Budget]])/financials[[#This Row],[Budget]]</f>
        <v>-0.12280701754385959</v>
      </c>
      <c r="P137" s="6">
        <v>41609</v>
      </c>
      <c r="Q137" s="8">
        <v>12</v>
      </c>
      <c r="R137" s="5" t="s">
        <v>32</v>
      </c>
      <c r="S137" s="7" t="s">
        <v>14</v>
      </c>
    </row>
    <row r="138" spans="1:19" x14ac:dyDescent="0.25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1">
        <v>572261.19999999995</v>
      </c>
      <c r="N138" s="1">
        <f>financials[[#This Row],[Sales]]-financials[[#This Row],[Budget]]</f>
        <v>93158.800000000047</v>
      </c>
      <c r="O138" s="10">
        <f>(financials[[#This Row],[Sales]]-financials[[#This Row],[Budget]])/financials[[#This Row],[Budget]]</f>
        <v>0.1627906976744187</v>
      </c>
      <c r="P138" s="6">
        <v>41609</v>
      </c>
      <c r="Q138" s="8">
        <v>12</v>
      </c>
      <c r="R138" s="5" t="s">
        <v>32</v>
      </c>
      <c r="S138" s="7" t="s">
        <v>14</v>
      </c>
    </row>
    <row r="139" spans="1:19" x14ac:dyDescent="0.25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1">
        <v>79191.839999999997</v>
      </c>
      <c r="N139" s="1">
        <f>financials[[#This Row],[Sales]]-financials[[#This Row],[Budget]]</f>
        <v>-3045.8399999999965</v>
      </c>
      <c r="O139" s="10">
        <f>(financials[[#This Row],[Sales]]-financials[[#This Row],[Budget]])/financials[[#This Row],[Budget]]</f>
        <v>-3.8461538461538422E-2</v>
      </c>
      <c r="P139" s="6">
        <v>41699</v>
      </c>
      <c r="Q139" s="8">
        <v>3</v>
      </c>
      <c r="R139" s="5" t="s">
        <v>23</v>
      </c>
      <c r="S139" s="7" t="s">
        <v>15</v>
      </c>
    </row>
    <row r="140" spans="1:19" x14ac:dyDescent="0.25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1">
        <v>369011.16</v>
      </c>
      <c r="N140" s="1">
        <f>financials[[#This Row],[Sales]]-financials[[#This Row],[Budget]]</f>
        <v>-45317.159999999974</v>
      </c>
      <c r="O140" s="10">
        <f>(financials[[#This Row],[Sales]]-financials[[#This Row],[Budget]])/financials[[#This Row],[Budget]]</f>
        <v>-0.12280701754385959</v>
      </c>
      <c r="P140" s="6">
        <v>41699</v>
      </c>
      <c r="Q140" s="8">
        <v>3</v>
      </c>
      <c r="R140" s="5" t="s">
        <v>23</v>
      </c>
      <c r="S140" s="7" t="s">
        <v>15</v>
      </c>
    </row>
    <row r="141" spans="1:19" x14ac:dyDescent="0.25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1">
        <v>320631.5</v>
      </c>
      <c r="N141" s="1">
        <f>financials[[#This Row],[Sales]]-financials[[#This Row],[Budget]]</f>
        <v>-41821.5</v>
      </c>
      <c r="O141" s="10">
        <f>(financials[[#This Row],[Sales]]-financials[[#This Row],[Budget]])/financials[[#This Row],[Budget]]</f>
        <v>-0.13043478260869565</v>
      </c>
      <c r="P141" s="6">
        <v>41760</v>
      </c>
      <c r="Q141" s="8">
        <v>5</v>
      </c>
      <c r="R141" s="5" t="s">
        <v>25</v>
      </c>
      <c r="S141" s="7" t="s">
        <v>15</v>
      </c>
    </row>
    <row r="142" spans="1:19" x14ac:dyDescent="0.25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1">
        <v>956297.72</v>
      </c>
      <c r="N142" s="1">
        <f>financials[[#This Row],[Sales]]-financials[[#This Row],[Budget]]</f>
        <v>61040.280000000028</v>
      </c>
      <c r="O142" s="10">
        <f>(financials[[#This Row],[Sales]]-financials[[#This Row],[Budget]])/financials[[#This Row],[Budget]]</f>
        <v>6.382978723404259E-2</v>
      </c>
      <c r="P142" s="6">
        <v>41548</v>
      </c>
      <c r="Q142" s="8">
        <v>10</v>
      </c>
      <c r="R142" s="5" t="s">
        <v>30</v>
      </c>
      <c r="S142" s="7" t="s">
        <v>14</v>
      </c>
    </row>
    <row r="143" spans="1:19" x14ac:dyDescent="0.25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1">
        <v>23983.343999999997</v>
      </c>
      <c r="N143" s="1">
        <f>financials[[#This Row],[Sales]]-financials[[#This Row],[Budget]]</f>
        <v>242.25600000000122</v>
      </c>
      <c r="O143" s="10">
        <f>(financials[[#This Row],[Sales]]-financials[[#This Row],[Budget]])/financials[[#This Row],[Budget]]</f>
        <v>1.0101010101010154E-2</v>
      </c>
      <c r="P143" s="6">
        <v>41944</v>
      </c>
      <c r="Q143" s="8">
        <v>11</v>
      </c>
      <c r="R143" s="5" t="s">
        <v>31</v>
      </c>
      <c r="S143" s="7" t="s">
        <v>15</v>
      </c>
    </row>
    <row r="144" spans="1:19" x14ac:dyDescent="0.25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1">
        <v>17705.856</v>
      </c>
      <c r="N144" s="1">
        <f>financials[[#This Row],[Sales]]-financials[[#This Row],[Budget]]</f>
        <v>737.74399999999878</v>
      </c>
      <c r="O144" s="10">
        <f>(financials[[#This Row],[Sales]]-financials[[#This Row],[Budget]])/financials[[#This Row],[Budget]]</f>
        <v>4.1666666666666595E-2</v>
      </c>
      <c r="P144" s="6">
        <v>41944</v>
      </c>
      <c r="Q144" s="8">
        <v>11</v>
      </c>
      <c r="R144" s="5" t="s">
        <v>31</v>
      </c>
      <c r="S144" s="7" t="s">
        <v>15</v>
      </c>
    </row>
    <row r="145" spans="1:19" x14ac:dyDescent="0.25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1">
        <v>518239.68000000005</v>
      </c>
      <c r="N145" s="1">
        <f>financials[[#This Row],[Sales]]-financials[[#This Row],[Budget]]</f>
        <v>45064.319999999949</v>
      </c>
      <c r="O145" s="10">
        <f>(financials[[#This Row],[Sales]]-financials[[#This Row],[Budget]])/financials[[#This Row],[Budget]]</f>
        <v>8.6956521739130321E-2</v>
      </c>
      <c r="P145" s="6">
        <v>41974</v>
      </c>
      <c r="Q145" s="8">
        <v>12</v>
      </c>
      <c r="R145" s="5" t="s">
        <v>32</v>
      </c>
      <c r="S145" s="7" t="s">
        <v>15</v>
      </c>
    </row>
    <row r="146" spans="1:19" x14ac:dyDescent="0.25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1">
        <v>514524.375</v>
      </c>
      <c r="N146" s="1">
        <f>financials[[#This Row],[Sales]]-financials[[#This Row],[Budget]]</f>
        <v>0</v>
      </c>
      <c r="O146" s="10">
        <f>(financials[[#This Row],[Sales]]-financials[[#This Row],[Budget]])/financials[[#This Row],[Budget]]</f>
        <v>0</v>
      </c>
      <c r="P146" s="6">
        <v>41730</v>
      </c>
      <c r="Q146" s="8">
        <v>4</v>
      </c>
      <c r="R146" s="5" t="s">
        <v>24</v>
      </c>
      <c r="S146" s="7" t="s">
        <v>15</v>
      </c>
    </row>
    <row r="147" spans="1:19" x14ac:dyDescent="0.25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1">
        <v>50552.520000000004</v>
      </c>
      <c r="N147" s="1">
        <f>financials[[#This Row],[Sales]]-financials[[#This Row],[Budget]]</f>
        <v>-500.52000000000407</v>
      </c>
      <c r="O147" s="10">
        <f>(financials[[#This Row],[Sales]]-financials[[#This Row],[Budget]])/financials[[#This Row],[Budget]]</f>
        <v>-9.9009900990099809E-3</v>
      </c>
      <c r="P147" s="6">
        <v>41730</v>
      </c>
      <c r="Q147" s="8">
        <v>4</v>
      </c>
      <c r="R147" s="5" t="s">
        <v>24</v>
      </c>
      <c r="S147" s="7" t="s">
        <v>15</v>
      </c>
    </row>
    <row r="148" spans="1:19" x14ac:dyDescent="0.25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1">
        <v>228568.86</v>
      </c>
      <c r="N148" s="1">
        <f>financials[[#This Row],[Sales]]-financials[[#This Row],[Budget]]</f>
        <v>-28069.859999999986</v>
      </c>
      <c r="O148" s="10">
        <f>(financials[[#This Row],[Sales]]-financials[[#This Row],[Budget]])/financials[[#This Row],[Budget]]</f>
        <v>-0.1228070175438596</v>
      </c>
      <c r="P148" s="6">
        <v>41791</v>
      </c>
      <c r="Q148" s="8">
        <v>6</v>
      </c>
      <c r="R148" s="5" t="s">
        <v>26</v>
      </c>
      <c r="S148" s="7" t="s">
        <v>15</v>
      </c>
    </row>
    <row r="149" spans="1:19" x14ac:dyDescent="0.25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1">
        <v>21303.2952</v>
      </c>
      <c r="N149" s="1">
        <f>financials[[#This Row],[Sales]]-financials[[#This Row],[Budget]]</f>
        <v>1359.7848000000013</v>
      </c>
      <c r="O149" s="10">
        <f>(financials[[#This Row],[Sales]]-financials[[#This Row],[Budget]])/financials[[#This Row],[Budget]]</f>
        <v>6.3829787234042618E-2</v>
      </c>
      <c r="P149" s="6">
        <v>41883</v>
      </c>
      <c r="Q149" s="8">
        <v>9</v>
      </c>
      <c r="R149" s="5" t="s">
        <v>29</v>
      </c>
      <c r="S149" s="7" t="s">
        <v>15</v>
      </c>
    </row>
    <row r="150" spans="1:19" x14ac:dyDescent="0.25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1">
        <v>10569.12</v>
      </c>
      <c r="N150" s="1">
        <f>financials[[#This Row],[Sales]]-financials[[#This Row],[Budget]]</f>
        <v>0</v>
      </c>
      <c r="O150" s="10">
        <f>(financials[[#This Row],[Sales]]-financials[[#This Row],[Budget]])/financials[[#This Row],[Budget]]</f>
        <v>0</v>
      </c>
      <c r="P150" s="6">
        <v>41609</v>
      </c>
      <c r="Q150" s="8">
        <v>12</v>
      </c>
      <c r="R150" s="5" t="s">
        <v>32</v>
      </c>
      <c r="S150" s="7" t="s">
        <v>14</v>
      </c>
    </row>
    <row r="151" spans="1:19" x14ac:dyDescent="0.25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1">
        <v>13294.82</v>
      </c>
      <c r="N151" s="1">
        <f>financials[[#This Row],[Sales]]-financials[[#This Row],[Budget]]</f>
        <v>0</v>
      </c>
      <c r="O151" s="10">
        <f>(financials[[#This Row],[Sales]]-financials[[#This Row],[Budget]])/financials[[#This Row],[Budget]]</f>
        <v>0</v>
      </c>
      <c r="P151" s="6">
        <v>41671</v>
      </c>
      <c r="Q151" s="8">
        <v>2</v>
      </c>
      <c r="R151" s="5" t="s">
        <v>22</v>
      </c>
      <c r="S151" s="7" t="s">
        <v>15</v>
      </c>
    </row>
    <row r="152" spans="1:19" x14ac:dyDescent="0.25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1">
        <v>19251.0468</v>
      </c>
      <c r="N152" s="1">
        <f>financials[[#This Row],[Sales]]-financials[[#This Row],[Budget]]</f>
        <v>2876.5931999999993</v>
      </c>
      <c r="O152" s="10">
        <f>(financials[[#This Row],[Sales]]-financials[[#This Row],[Budget]])/financials[[#This Row],[Budget]]</f>
        <v>0.1494252873563218</v>
      </c>
      <c r="P152" s="6">
        <v>41791</v>
      </c>
      <c r="Q152" s="8">
        <v>6</v>
      </c>
      <c r="R152" s="5" t="s">
        <v>26</v>
      </c>
      <c r="S152" s="7" t="s">
        <v>15</v>
      </c>
    </row>
    <row r="153" spans="1:19" x14ac:dyDescent="0.25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1">
        <v>3730.6976000000004</v>
      </c>
      <c r="N153" s="1">
        <f>financials[[#This Row],[Sales]]-financials[[#This Row],[Budget]]</f>
        <v>-36.937600000000202</v>
      </c>
      <c r="O153" s="10">
        <f>(financials[[#This Row],[Sales]]-financials[[#This Row],[Budget]])/financials[[#This Row],[Budget]]</f>
        <v>-9.9009900990099549E-3</v>
      </c>
      <c r="P153" s="6">
        <v>41883</v>
      </c>
      <c r="Q153" s="8">
        <v>9</v>
      </c>
      <c r="R153" s="5" t="s">
        <v>29</v>
      </c>
      <c r="S153" s="7" t="s">
        <v>15</v>
      </c>
    </row>
    <row r="154" spans="1:19" x14ac:dyDescent="0.25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1">
        <v>677190.46500000008</v>
      </c>
      <c r="N154" s="1">
        <f>financials[[#This Row],[Sales]]-financials[[#This Row],[Budget]]</f>
        <v>-67108.965000000084</v>
      </c>
      <c r="O154" s="10">
        <f>(financials[[#This Row],[Sales]]-financials[[#This Row],[Budget]])/financials[[#This Row],[Budget]]</f>
        <v>-9.9099099099099211E-2</v>
      </c>
      <c r="P154" s="6">
        <v>41518</v>
      </c>
      <c r="Q154" s="8">
        <v>9</v>
      </c>
      <c r="R154" s="5" t="s">
        <v>29</v>
      </c>
      <c r="S154" s="7" t="s">
        <v>14</v>
      </c>
    </row>
    <row r="155" spans="1:19" x14ac:dyDescent="0.25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1">
        <v>173214.11250000002</v>
      </c>
      <c r="N155" s="1">
        <f>financials[[#This Row],[Sales]]-financials[[#This Row],[Budget]]</f>
        <v>-17165.362500000017</v>
      </c>
      <c r="O155" s="10">
        <f>(financials[[#This Row],[Sales]]-financials[[#This Row],[Budget]])/financials[[#This Row],[Budget]]</f>
        <v>-9.9099099099099183E-2</v>
      </c>
      <c r="P155" s="6">
        <v>41974</v>
      </c>
      <c r="Q155" s="8">
        <v>12</v>
      </c>
      <c r="R155" s="5" t="s">
        <v>32</v>
      </c>
      <c r="S155" s="7" t="s">
        <v>15</v>
      </c>
    </row>
    <row r="156" spans="1:19" x14ac:dyDescent="0.25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1">
        <v>227537.75000000003</v>
      </c>
      <c r="N156" s="1">
        <f>financials[[#This Row],[Sales]]-financials[[#This Row],[Budget]]</f>
        <v>-20685.250000000029</v>
      </c>
      <c r="O156" s="10">
        <f>(financials[[#This Row],[Sales]]-financials[[#This Row],[Budget]])/financials[[#This Row],[Budget]]</f>
        <v>-9.0909090909091023E-2</v>
      </c>
      <c r="P156" s="6">
        <v>41974</v>
      </c>
      <c r="Q156" s="8">
        <v>12</v>
      </c>
      <c r="R156" s="5" t="s">
        <v>32</v>
      </c>
      <c r="S156" s="7" t="s">
        <v>15</v>
      </c>
    </row>
    <row r="157" spans="1:19" x14ac:dyDescent="0.25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1">
        <v>665933.13</v>
      </c>
      <c r="N157" s="1">
        <f>financials[[#This Row],[Sales]]-financials[[#This Row],[Budget]]</f>
        <v>42506.369999999995</v>
      </c>
      <c r="O157" s="10">
        <f>(financials[[#This Row],[Sales]]-financials[[#This Row],[Budget]])/financials[[#This Row],[Budget]]</f>
        <v>6.3829787234042548E-2</v>
      </c>
      <c r="P157" s="6">
        <v>41640</v>
      </c>
      <c r="Q157" s="8">
        <v>1</v>
      </c>
      <c r="R157" s="5" t="s">
        <v>21</v>
      </c>
      <c r="S157" s="7" t="s">
        <v>15</v>
      </c>
    </row>
    <row r="158" spans="1:19" x14ac:dyDescent="0.25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1">
        <v>215097.5</v>
      </c>
      <c r="N158" s="1">
        <f>financials[[#This Row],[Sales]]-financials[[#This Row],[Budget]]</f>
        <v>0</v>
      </c>
      <c r="O158" s="10">
        <f>(financials[[#This Row],[Sales]]-financials[[#This Row],[Budget]])/financials[[#This Row],[Budget]]</f>
        <v>0</v>
      </c>
      <c r="P158" s="6">
        <v>41699</v>
      </c>
      <c r="Q158" s="8">
        <v>3</v>
      </c>
      <c r="R158" s="5" t="s">
        <v>23</v>
      </c>
      <c r="S158" s="7" t="s">
        <v>15</v>
      </c>
    </row>
    <row r="159" spans="1:19" x14ac:dyDescent="0.25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1">
        <v>20578.7052</v>
      </c>
      <c r="N159" s="1">
        <f>financials[[#This Row],[Sales]]-financials[[#This Row],[Budget]]</f>
        <v>1548.9347999999991</v>
      </c>
      <c r="O159" s="10">
        <f>(financials[[#This Row],[Sales]]-financials[[#This Row],[Budget]])/financials[[#This Row],[Budget]]</f>
        <v>7.5268817204301036E-2</v>
      </c>
      <c r="P159" s="6">
        <v>41791</v>
      </c>
      <c r="Q159" s="8">
        <v>6</v>
      </c>
      <c r="R159" s="5" t="s">
        <v>26</v>
      </c>
      <c r="S159" s="7" t="s">
        <v>15</v>
      </c>
    </row>
    <row r="160" spans="1:19" x14ac:dyDescent="0.25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1">
        <v>170424.15</v>
      </c>
      <c r="N160" s="1">
        <f>financials[[#This Row],[Sales]]-financials[[#This Row],[Budget]]</f>
        <v>30074.850000000006</v>
      </c>
      <c r="O160" s="10">
        <f>(financials[[#This Row],[Sales]]-financials[[#This Row],[Budget]])/financials[[#This Row],[Budget]]</f>
        <v>0.17647058823529416</v>
      </c>
      <c r="P160" s="6">
        <v>41791</v>
      </c>
      <c r="Q160" s="8">
        <v>6</v>
      </c>
      <c r="R160" s="5" t="s">
        <v>26</v>
      </c>
      <c r="S160" s="7" t="s">
        <v>15</v>
      </c>
    </row>
    <row r="161" spans="1:19" x14ac:dyDescent="0.25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1">
        <v>163711.75</v>
      </c>
      <c r="N161" s="1">
        <f>financials[[#This Row],[Sales]]-financials[[#This Row],[Budget]]</f>
        <v>26650.75</v>
      </c>
      <c r="O161" s="10">
        <f>(financials[[#This Row],[Sales]]-financials[[#This Row],[Budget]])/financials[[#This Row],[Budget]]</f>
        <v>0.16279069767441862</v>
      </c>
      <c r="P161" s="6">
        <v>41791</v>
      </c>
      <c r="Q161" s="8">
        <v>6</v>
      </c>
      <c r="R161" s="5" t="s">
        <v>26</v>
      </c>
      <c r="S161" s="7" t="s">
        <v>15</v>
      </c>
    </row>
    <row r="162" spans="1:19" x14ac:dyDescent="0.25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1">
        <v>16578.619200000001</v>
      </c>
      <c r="N162" s="1">
        <f>financials[[#This Row],[Sales]]-financials[[#This Row],[Budget]]</f>
        <v>-637.63920000000144</v>
      </c>
      <c r="O162" s="10">
        <f>(financials[[#This Row],[Sales]]-financials[[#This Row],[Budget]])/financials[[#This Row],[Budget]]</f>
        <v>-3.8461538461538547E-2</v>
      </c>
      <c r="P162" s="6">
        <v>41821</v>
      </c>
      <c r="Q162" s="8">
        <v>7</v>
      </c>
      <c r="R162" s="5" t="s">
        <v>27</v>
      </c>
      <c r="S162" s="7" t="s">
        <v>15</v>
      </c>
    </row>
    <row r="163" spans="1:19" x14ac:dyDescent="0.25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1">
        <v>226539.86250000002</v>
      </c>
      <c r="N163" s="1">
        <f>financials[[#This Row],[Sales]]-financials[[#This Row],[Budget]]</f>
        <v>17051.387499999983</v>
      </c>
      <c r="O163" s="10">
        <f>(financials[[#This Row],[Sales]]-financials[[#This Row],[Budget]])/financials[[#This Row],[Budget]]</f>
        <v>7.5268817204300995E-2</v>
      </c>
      <c r="P163" s="6">
        <v>41913</v>
      </c>
      <c r="Q163" s="8">
        <v>10</v>
      </c>
      <c r="R163" s="5" t="s">
        <v>30</v>
      </c>
      <c r="S163" s="7" t="s">
        <v>15</v>
      </c>
    </row>
    <row r="164" spans="1:19" x14ac:dyDescent="0.25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1">
        <v>31129.725000000002</v>
      </c>
      <c r="N164" s="1">
        <f>financials[[#This Row],[Sales]]-financials[[#This Row],[Budget]]</f>
        <v>-2829.9750000000022</v>
      </c>
      <c r="O164" s="10">
        <f>(financials[[#This Row],[Sales]]-financials[[#This Row],[Budget]])/financials[[#This Row],[Budget]]</f>
        <v>-9.0909090909090967E-2</v>
      </c>
      <c r="P164" s="6">
        <v>41548</v>
      </c>
      <c r="Q164" s="8">
        <v>10</v>
      </c>
      <c r="R164" s="5" t="s">
        <v>30</v>
      </c>
      <c r="S164" s="7" t="s">
        <v>14</v>
      </c>
    </row>
    <row r="165" spans="1:19" x14ac:dyDescent="0.25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1">
        <v>170093.13750000001</v>
      </c>
      <c r="N165" s="1">
        <f>financials[[#This Row],[Sales]]-financials[[#This Row],[Budget]]</f>
        <v>-14044.387500000012</v>
      </c>
      <c r="O165" s="10">
        <f>(financials[[#This Row],[Sales]]-financials[[#This Row],[Budget]])/financials[[#This Row],[Budget]]</f>
        <v>-8.2568807339449601E-2</v>
      </c>
      <c r="P165" s="6">
        <v>41974</v>
      </c>
      <c r="Q165" s="8">
        <v>12</v>
      </c>
      <c r="R165" s="5" t="s">
        <v>32</v>
      </c>
      <c r="S165" s="7" t="s">
        <v>15</v>
      </c>
    </row>
    <row r="166" spans="1:19" x14ac:dyDescent="0.25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1">
        <v>190304.30000000002</v>
      </c>
      <c r="N166" s="1">
        <f>financials[[#This Row],[Sales]]-financials[[#This Row],[Budget]]</f>
        <v>16548.199999999983</v>
      </c>
      <c r="O166" s="10">
        <f>(financials[[#This Row],[Sales]]-financials[[#This Row],[Budget]])/financials[[#This Row],[Budget]]</f>
        <v>8.6956521739130335E-2</v>
      </c>
      <c r="P166" s="6">
        <v>41974</v>
      </c>
      <c r="Q166" s="8">
        <v>12</v>
      </c>
      <c r="R166" s="5" t="s">
        <v>32</v>
      </c>
      <c r="S166" s="7" t="s">
        <v>15</v>
      </c>
    </row>
    <row r="167" spans="1:19" x14ac:dyDescent="0.25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1">
        <v>214360.3</v>
      </c>
      <c r="N167" s="1">
        <f>financials[[#This Row],[Sales]]-financials[[#This Row],[Budget]]</f>
        <v>29230.950000000012</v>
      </c>
      <c r="O167" s="10">
        <f>(financials[[#This Row],[Sales]]-financials[[#This Row],[Budget]])/financials[[#This Row],[Budget]]</f>
        <v>0.13636363636363644</v>
      </c>
      <c r="P167" s="6">
        <v>41913</v>
      </c>
      <c r="Q167" s="8">
        <v>10</v>
      </c>
      <c r="R167" s="5" t="s">
        <v>30</v>
      </c>
      <c r="S167" s="7" t="s">
        <v>15</v>
      </c>
    </row>
    <row r="168" spans="1:19" x14ac:dyDescent="0.25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1">
        <v>811051.92</v>
      </c>
      <c r="N168" s="1">
        <f>financials[[#This Row],[Sales]]-financials[[#This Row],[Budget]]</f>
        <v>16552.079999999958</v>
      </c>
      <c r="O168" s="10">
        <f>(financials[[#This Row],[Sales]]-financials[[#This Row],[Budget]])/financials[[#This Row],[Budget]]</f>
        <v>2.0408163265306069E-2</v>
      </c>
      <c r="P168" s="6">
        <v>41671</v>
      </c>
      <c r="Q168" s="8">
        <v>2</v>
      </c>
      <c r="R168" s="5" t="s">
        <v>22</v>
      </c>
      <c r="S168" s="7" t="s">
        <v>15</v>
      </c>
    </row>
    <row r="169" spans="1:19" x14ac:dyDescent="0.25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1">
        <v>19179.9264</v>
      </c>
      <c r="N169" s="1">
        <f>financials[[#This Row],[Sales]]-financials[[#This Row],[Budget]]</f>
        <v>3122.3136000000013</v>
      </c>
      <c r="O169" s="10">
        <f>(financials[[#This Row],[Sales]]-financials[[#This Row],[Budget]])/financials[[#This Row],[Budget]]</f>
        <v>0.16279069767441867</v>
      </c>
      <c r="P169" s="6">
        <v>41730</v>
      </c>
      <c r="Q169" s="8">
        <v>4</v>
      </c>
      <c r="R169" s="5" t="s">
        <v>24</v>
      </c>
      <c r="S169" s="7" t="s">
        <v>15</v>
      </c>
    </row>
    <row r="170" spans="1:19" x14ac:dyDescent="0.25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1">
        <v>163711.75</v>
      </c>
      <c r="N170" s="1">
        <f>financials[[#This Row],[Sales]]-financials[[#This Row],[Budget]]</f>
        <v>26650.75</v>
      </c>
      <c r="O170" s="10">
        <f>(financials[[#This Row],[Sales]]-financials[[#This Row],[Budget]])/financials[[#This Row],[Budget]]</f>
        <v>0.16279069767441862</v>
      </c>
      <c r="P170" s="6">
        <v>41791</v>
      </c>
      <c r="Q170" s="8">
        <v>6</v>
      </c>
      <c r="R170" s="5" t="s">
        <v>26</v>
      </c>
      <c r="S170" s="7" t="s">
        <v>15</v>
      </c>
    </row>
    <row r="171" spans="1:19" x14ac:dyDescent="0.25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1">
        <v>621680.75999999989</v>
      </c>
      <c r="N171" s="1">
        <f>financials[[#This Row],[Sales]]-financials[[#This Row],[Budget]]</f>
        <v>-76346.759999999893</v>
      </c>
      <c r="O171" s="10">
        <f>(financials[[#This Row],[Sales]]-financials[[#This Row],[Budget]])/financials[[#This Row],[Budget]]</f>
        <v>-0.1228070175438595</v>
      </c>
      <c r="P171" s="6">
        <v>41852</v>
      </c>
      <c r="Q171" s="8">
        <v>8</v>
      </c>
      <c r="R171" s="5" t="s">
        <v>28</v>
      </c>
      <c r="S171" s="7" t="s">
        <v>15</v>
      </c>
    </row>
    <row r="172" spans="1:19" x14ac:dyDescent="0.25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1">
        <v>540735.23</v>
      </c>
      <c r="N172" s="1">
        <f>financials[[#This Row],[Sales]]-financials[[#This Row],[Budget]]</f>
        <v>16723.770000000019</v>
      </c>
      <c r="O172" s="10">
        <f>(financials[[#This Row],[Sales]]-financials[[#This Row],[Budget]])/financials[[#This Row],[Budget]]</f>
        <v>3.0927835051546428E-2</v>
      </c>
      <c r="P172" s="6">
        <v>41852</v>
      </c>
      <c r="Q172" s="8">
        <v>8</v>
      </c>
      <c r="R172" s="5" t="s">
        <v>28</v>
      </c>
      <c r="S172" s="7" t="s">
        <v>15</v>
      </c>
    </row>
    <row r="173" spans="1:19" x14ac:dyDescent="0.25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1">
        <v>27733.755000000001</v>
      </c>
      <c r="N173" s="1">
        <f>financials[[#This Row],[Sales]]-financials[[#This Row],[Budget]]</f>
        <v>565.99499999999898</v>
      </c>
      <c r="O173" s="10">
        <f>(financials[[#This Row],[Sales]]-financials[[#This Row],[Budget]])/financials[[#This Row],[Budget]]</f>
        <v>2.0408163265306086E-2</v>
      </c>
      <c r="P173" s="6">
        <v>41548</v>
      </c>
      <c r="Q173" s="8">
        <v>10</v>
      </c>
      <c r="R173" s="5" t="s">
        <v>30</v>
      </c>
      <c r="S173" s="7" t="s">
        <v>14</v>
      </c>
    </row>
    <row r="174" spans="1:19" x14ac:dyDescent="0.25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1">
        <v>16927.47</v>
      </c>
      <c r="N174" s="1">
        <f>financials[[#This Row],[Sales]]-financials[[#This Row],[Budget]]</f>
        <v>-806.07000000000153</v>
      </c>
      <c r="O174" s="10">
        <f>(financials[[#This Row],[Sales]]-financials[[#This Row],[Budget]])/financials[[#This Row],[Budget]]</f>
        <v>-4.7619047619047707E-2</v>
      </c>
      <c r="P174" s="6">
        <v>41760</v>
      </c>
      <c r="Q174" s="8">
        <v>5</v>
      </c>
      <c r="R174" s="5" t="s">
        <v>25</v>
      </c>
      <c r="S174" s="7" t="s">
        <v>15</v>
      </c>
    </row>
    <row r="175" spans="1:19" x14ac:dyDescent="0.25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1">
        <v>12547.92</v>
      </c>
      <c r="N175" s="1">
        <f>financials[[#This Row],[Sales]]-financials[[#This Row],[Budget]]</f>
        <v>-597.52000000000044</v>
      </c>
      <c r="O175" s="10">
        <f>(financials[[#This Row],[Sales]]-financials[[#This Row],[Budget]])/financials[[#This Row],[Budget]]</f>
        <v>-4.7619047619047651E-2</v>
      </c>
      <c r="P175" s="6">
        <v>41518</v>
      </c>
      <c r="Q175" s="8">
        <v>9</v>
      </c>
      <c r="R175" s="5" t="s">
        <v>29</v>
      </c>
      <c r="S175" s="7" t="s">
        <v>14</v>
      </c>
    </row>
    <row r="176" spans="1:19" x14ac:dyDescent="0.25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1">
        <v>73952.703000000009</v>
      </c>
      <c r="N176" s="1">
        <f>financials[[#This Row],[Sales]]-financials[[#This Row],[Budget]]</f>
        <v>746.99700000000303</v>
      </c>
      <c r="O176" s="10">
        <f>(financials[[#This Row],[Sales]]-financials[[#This Row],[Budget]])/financials[[#This Row],[Budget]]</f>
        <v>1.010101010101014E-2</v>
      </c>
      <c r="P176" s="6">
        <v>41730</v>
      </c>
      <c r="Q176" s="8">
        <v>4</v>
      </c>
      <c r="R176" s="5" t="s">
        <v>24</v>
      </c>
      <c r="S176" s="7" t="s">
        <v>15</v>
      </c>
    </row>
    <row r="177" spans="1:19" x14ac:dyDescent="0.25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1">
        <v>27701.337599999999</v>
      </c>
      <c r="N177" s="1">
        <f>financials[[#This Row],[Sales]]-financials[[#This Row],[Budget]]</f>
        <v>1154.2224000000024</v>
      </c>
      <c r="O177" s="10">
        <f>(financials[[#This Row],[Sales]]-financials[[#This Row],[Budget]])/financials[[#This Row],[Budget]]</f>
        <v>4.1666666666666755E-2</v>
      </c>
      <c r="P177" s="6">
        <v>41640</v>
      </c>
      <c r="Q177" s="8">
        <v>1</v>
      </c>
      <c r="R177" s="5" t="s">
        <v>21</v>
      </c>
      <c r="S177" s="7" t="s">
        <v>15</v>
      </c>
    </row>
    <row r="178" spans="1:19" x14ac:dyDescent="0.25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1">
        <v>30416.256000000001</v>
      </c>
      <c r="N178" s="1">
        <f>financials[[#This Row],[Sales]]-financials[[#This Row],[Budget]]</f>
        <v>-1169.8559999999998</v>
      </c>
      <c r="O178" s="10">
        <f>(financials[[#This Row],[Sales]]-financials[[#This Row],[Budget]])/financials[[#This Row],[Budget]]</f>
        <v>-3.846153846153845E-2</v>
      </c>
      <c r="P178" s="6">
        <v>41913</v>
      </c>
      <c r="Q178" s="8">
        <v>10</v>
      </c>
      <c r="R178" s="5" t="s">
        <v>30</v>
      </c>
      <c r="S178" s="7" t="s">
        <v>15</v>
      </c>
    </row>
    <row r="179" spans="1:19" x14ac:dyDescent="0.25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1">
        <v>29538.864000000001</v>
      </c>
      <c r="N179" s="1">
        <f>financials[[#This Row],[Sales]]-financials[[#This Row],[Budget]]</f>
        <v>-292.46399999999994</v>
      </c>
      <c r="O179" s="10">
        <f>(financials[[#This Row],[Sales]]-financials[[#This Row],[Budget]])/financials[[#This Row],[Budget]]</f>
        <v>-9.9009900990098994E-3</v>
      </c>
      <c r="P179" s="6">
        <v>41913</v>
      </c>
      <c r="Q179" s="8">
        <v>10</v>
      </c>
      <c r="R179" s="5" t="s">
        <v>30</v>
      </c>
      <c r="S179" s="7" t="s">
        <v>15</v>
      </c>
    </row>
    <row r="180" spans="1:19" x14ac:dyDescent="0.25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1">
        <v>33535.152000000002</v>
      </c>
      <c r="N180" s="1">
        <f>financials[[#This Row],[Sales]]-financials[[#This Row],[Budget]]</f>
        <v>-976.75200000000041</v>
      </c>
      <c r="O180" s="10">
        <f>(financials[[#This Row],[Sales]]-financials[[#This Row],[Budget]])/financials[[#This Row],[Budget]]</f>
        <v>-2.9126213592233021E-2</v>
      </c>
      <c r="P180" s="6">
        <v>41609</v>
      </c>
      <c r="Q180" s="8">
        <v>12</v>
      </c>
      <c r="R180" s="5" t="s">
        <v>32</v>
      </c>
      <c r="S180" s="7" t="s">
        <v>14</v>
      </c>
    </row>
    <row r="181" spans="1:19" x14ac:dyDescent="0.25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1">
        <v>15261.696000000002</v>
      </c>
      <c r="N181" s="1">
        <f>financials[[#This Row],[Sales]]-financials[[#This Row],[Budget]]</f>
        <v>-1130.496000000001</v>
      </c>
      <c r="O181" s="10">
        <f>(financials[[#This Row],[Sales]]-financials[[#This Row],[Budget]])/financials[[#This Row],[Budget]]</f>
        <v>-7.4074074074074125E-2</v>
      </c>
      <c r="P181" s="6">
        <v>41518</v>
      </c>
      <c r="Q181" s="8">
        <v>9</v>
      </c>
      <c r="R181" s="5" t="s">
        <v>29</v>
      </c>
      <c r="S181" s="7" t="s">
        <v>14</v>
      </c>
    </row>
    <row r="182" spans="1:19" x14ac:dyDescent="0.25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1">
        <v>19158.72</v>
      </c>
      <c r="N182" s="1">
        <f>financials[[#This Row],[Sales]]-financials[[#This Row],[Budget]]</f>
        <v>0</v>
      </c>
      <c r="O182" s="10">
        <f>(financials[[#This Row],[Sales]]-financials[[#This Row],[Budget]])/financials[[#This Row],[Budget]]</f>
        <v>0</v>
      </c>
      <c r="P182" s="6">
        <v>41548</v>
      </c>
      <c r="Q182" s="8">
        <v>10</v>
      </c>
      <c r="R182" s="5" t="s">
        <v>30</v>
      </c>
      <c r="S182" s="7" t="s">
        <v>14</v>
      </c>
    </row>
    <row r="183" spans="1:19" x14ac:dyDescent="0.25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1">
        <v>523843.2</v>
      </c>
      <c r="N183" s="1">
        <f>financials[[#This Row],[Sales]]-financials[[#This Row],[Budget]]</f>
        <v>58204.799999999988</v>
      </c>
      <c r="O183" s="10">
        <f>(financials[[#This Row],[Sales]]-financials[[#This Row],[Budget]])/financials[[#This Row],[Budget]]</f>
        <v>0.11111111111111109</v>
      </c>
      <c r="P183" s="6">
        <v>41913</v>
      </c>
      <c r="Q183" s="8">
        <v>10</v>
      </c>
      <c r="R183" s="5" t="s">
        <v>30</v>
      </c>
      <c r="S183" s="7" t="s">
        <v>15</v>
      </c>
    </row>
    <row r="184" spans="1:19" x14ac:dyDescent="0.25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1">
        <v>95746.559999999998</v>
      </c>
      <c r="N184" s="1">
        <f>financials[[#This Row],[Sales]]-financials[[#This Row],[Budget]]</f>
        <v>-3682.5599999999977</v>
      </c>
      <c r="O184" s="10">
        <f>(financials[[#This Row],[Sales]]-financials[[#This Row],[Budget]])/financials[[#This Row],[Budget]]</f>
        <v>-3.8461538461538436E-2</v>
      </c>
      <c r="P184" s="6">
        <v>41974</v>
      </c>
      <c r="Q184" s="8">
        <v>12</v>
      </c>
      <c r="R184" s="5" t="s">
        <v>32</v>
      </c>
      <c r="S184" s="7" t="s">
        <v>15</v>
      </c>
    </row>
    <row r="185" spans="1:19" x14ac:dyDescent="0.25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1">
        <v>28891.295999999998</v>
      </c>
      <c r="N185" s="1">
        <f>financials[[#This Row],[Sales]]-financials[[#This Row],[Budget]]</f>
        <v>-566.49599999999919</v>
      </c>
      <c r="O185" s="10">
        <f>(financials[[#This Row],[Sales]]-financials[[#This Row],[Budget]])/financials[[#This Row],[Budget]]</f>
        <v>-1.9607843137254874E-2</v>
      </c>
      <c r="P185" s="6">
        <v>41699</v>
      </c>
      <c r="Q185" s="8">
        <v>3</v>
      </c>
      <c r="R185" s="5" t="s">
        <v>23</v>
      </c>
      <c r="S185" s="7" t="s">
        <v>15</v>
      </c>
    </row>
    <row r="186" spans="1:19" x14ac:dyDescent="0.25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1">
        <v>578223.35999999999</v>
      </c>
      <c r="N186" s="1">
        <f>financials[[#This Row],[Sales]]-financials[[#This Row],[Budget]]</f>
        <v>-42831.359999999986</v>
      </c>
      <c r="O186" s="10">
        <f>(financials[[#This Row],[Sales]]-financials[[#This Row],[Budget]])/financials[[#This Row],[Budget]]</f>
        <v>-7.4074074074074056E-2</v>
      </c>
      <c r="P186" s="6">
        <v>41852</v>
      </c>
      <c r="Q186" s="8">
        <v>8</v>
      </c>
      <c r="R186" s="5" t="s">
        <v>28</v>
      </c>
      <c r="S186" s="7" t="s">
        <v>15</v>
      </c>
    </row>
    <row r="187" spans="1:19" x14ac:dyDescent="0.25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1">
        <v>20308.243200000001</v>
      </c>
      <c r="N187" s="1">
        <f>financials[[#This Row],[Sales]]-financials[[#This Row],[Budget]]</f>
        <v>-1149.5231999999996</v>
      </c>
      <c r="O187" s="10">
        <f>(financials[[#This Row],[Sales]]-financials[[#This Row],[Budget]])/financials[[#This Row],[Budget]]</f>
        <v>-5.6603773584905641E-2</v>
      </c>
      <c r="P187" s="6">
        <v>41548</v>
      </c>
      <c r="Q187" s="8">
        <v>10</v>
      </c>
      <c r="R187" s="5" t="s">
        <v>30</v>
      </c>
      <c r="S187" s="7" t="s">
        <v>14</v>
      </c>
    </row>
    <row r="188" spans="1:19" x14ac:dyDescent="0.25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1">
        <v>605329.92000000004</v>
      </c>
      <c r="N188" s="1">
        <f>financials[[#This Row],[Sales]]-financials[[#This Row],[Budget]]</f>
        <v>-23281.920000000042</v>
      </c>
      <c r="O188" s="10">
        <f>(financials[[#This Row],[Sales]]-financials[[#This Row],[Budget]])/financials[[#This Row],[Budget]]</f>
        <v>-3.8461538461538526E-2</v>
      </c>
      <c r="P188" s="6">
        <v>41913</v>
      </c>
      <c r="Q188" s="8">
        <v>10</v>
      </c>
      <c r="R188" s="5" t="s">
        <v>30</v>
      </c>
      <c r="S188" s="7" t="s">
        <v>15</v>
      </c>
    </row>
    <row r="189" spans="1:19" x14ac:dyDescent="0.25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1">
        <v>152947.20000000001</v>
      </c>
      <c r="N189" s="1">
        <f>financials[[#This Row],[Sales]]-financials[[#This Row],[Budget]]</f>
        <v>-16387.200000000012</v>
      </c>
      <c r="O189" s="10">
        <f>(financials[[#This Row],[Sales]]-financials[[#This Row],[Budget]])/financials[[#This Row],[Budget]]</f>
        <v>-0.10714285714285721</v>
      </c>
      <c r="P189" s="6">
        <v>41974</v>
      </c>
      <c r="Q189" s="8">
        <v>12</v>
      </c>
      <c r="R189" s="5" t="s">
        <v>32</v>
      </c>
      <c r="S189" s="7" t="s">
        <v>15</v>
      </c>
    </row>
    <row r="190" spans="1:19" x14ac:dyDescent="0.25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1">
        <v>25138.713600000003</v>
      </c>
      <c r="N190" s="1">
        <f>financials[[#This Row],[Sales]]-financials[[#This Row],[Budget]]</f>
        <v>3428.0063999999984</v>
      </c>
      <c r="O190" s="10">
        <f>(financials[[#This Row],[Sales]]-financials[[#This Row],[Budget]])/financials[[#This Row],[Budget]]</f>
        <v>0.1363636363636363</v>
      </c>
      <c r="P190" s="6">
        <v>41640</v>
      </c>
      <c r="Q190" s="8">
        <v>1</v>
      </c>
      <c r="R190" s="5" t="s">
        <v>21</v>
      </c>
      <c r="S190" s="7" t="s">
        <v>15</v>
      </c>
    </row>
    <row r="191" spans="1:19" x14ac:dyDescent="0.25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1">
        <v>85860</v>
      </c>
      <c r="N191" s="1">
        <f>financials[[#This Row],[Sales]]-financials[[#This Row],[Budget]]</f>
        <v>9540</v>
      </c>
      <c r="O191" s="10">
        <f>(financials[[#This Row],[Sales]]-financials[[#This Row],[Budget]])/financials[[#This Row],[Budget]]</f>
        <v>0.1111111111111111</v>
      </c>
      <c r="P191" s="6">
        <v>41699</v>
      </c>
      <c r="Q191" s="8">
        <v>3</v>
      </c>
      <c r="R191" s="5" t="s">
        <v>23</v>
      </c>
      <c r="S191" s="7" t="s">
        <v>15</v>
      </c>
    </row>
    <row r="192" spans="1:19" x14ac:dyDescent="0.25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1">
        <v>460334.87999999995</v>
      </c>
      <c r="N192" s="1">
        <f>financials[[#This Row],[Sales]]-financials[[#This Row],[Budget]]</f>
        <v>-52958.879999999946</v>
      </c>
      <c r="O192" s="10">
        <f>(financials[[#This Row],[Sales]]-financials[[#This Row],[Budget]])/financials[[#This Row],[Budget]]</f>
        <v>-0.11504424778761052</v>
      </c>
      <c r="P192" s="6">
        <v>41730</v>
      </c>
      <c r="Q192" s="8">
        <v>4</v>
      </c>
      <c r="R192" s="5" t="s">
        <v>24</v>
      </c>
      <c r="S192" s="7" t="s">
        <v>15</v>
      </c>
    </row>
    <row r="193" spans="1:19" x14ac:dyDescent="0.25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1">
        <v>857191.68</v>
      </c>
      <c r="N193" s="1">
        <f>financials[[#This Row],[Sales]]-financials[[#This Row],[Budget]]</f>
        <v>-16807.680000000051</v>
      </c>
      <c r="O193" s="10">
        <f>(financials[[#This Row],[Sales]]-financials[[#This Row],[Budget]])/financials[[#This Row],[Budget]]</f>
        <v>-1.9607843137254961E-2</v>
      </c>
      <c r="P193" s="6">
        <v>41760</v>
      </c>
      <c r="Q193" s="8">
        <v>5</v>
      </c>
      <c r="R193" s="5" t="s">
        <v>25</v>
      </c>
      <c r="S193" s="7" t="s">
        <v>15</v>
      </c>
    </row>
    <row r="194" spans="1:19" x14ac:dyDescent="0.25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1">
        <v>1217160</v>
      </c>
      <c r="N194" s="1">
        <f>financials[[#This Row],[Sales]]-financials[[#This Row],[Budget]]</f>
        <v>-57960</v>
      </c>
      <c r="O194" s="10">
        <f>(financials[[#This Row],[Sales]]-financials[[#This Row],[Budget]])/financials[[#This Row],[Budget]]</f>
        <v>-4.7619047619047616E-2</v>
      </c>
      <c r="P194" s="6">
        <v>41821</v>
      </c>
      <c r="Q194" s="8">
        <v>7</v>
      </c>
      <c r="R194" s="5" t="s">
        <v>27</v>
      </c>
      <c r="S194" s="7" t="s">
        <v>15</v>
      </c>
    </row>
    <row r="195" spans="1:19" x14ac:dyDescent="0.25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1">
        <v>383659.2</v>
      </c>
      <c r="N195" s="1">
        <f>financials[[#This Row],[Sales]]-financials[[#This Row],[Budget]]</f>
        <v>-25099.200000000012</v>
      </c>
      <c r="O195" s="10">
        <f>(financials[[#This Row],[Sales]]-financials[[#This Row],[Budget]])/financials[[#This Row],[Budget]]</f>
        <v>-6.5420560747663586E-2</v>
      </c>
      <c r="P195" s="6">
        <v>41821</v>
      </c>
      <c r="Q195" s="8">
        <v>7</v>
      </c>
      <c r="R195" s="5" t="s">
        <v>27</v>
      </c>
      <c r="S195" s="7" t="s">
        <v>15</v>
      </c>
    </row>
    <row r="196" spans="1:19" x14ac:dyDescent="0.25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1">
        <v>2950.8479999999995</v>
      </c>
      <c r="N196" s="1">
        <f>financials[[#This Row],[Sales]]-financials[[#This Row],[Budget]]</f>
        <v>188.35200000000032</v>
      </c>
      <c r="O196" s="10">
        <f>(financials[[#This Row],[Sales]]-financials[[#This Row],[Budget]])/financials[[#This Row],[Budget]]</f>
        <v>6.3829787234042673E-2</v>
      </c>
      <c r="P196" s="6">
        <v>41883</v>
      </c>
      <c r="Q196" s="8">
        <v>9</v>
      </c>
      <c r="R196" s="5" t="s">
        <v>29</v>
      </c>
      <c r="S196" s="7" t="s">
        <v>15</v>
      </c>
    </row>
    <row r="197" spans="1:19" x14ac:dyDescent="0.25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1">
        <v>39024.384000000005</v>
      </c>
      <c r="N197" s="1">
        <f>financials[[#This Row],[Sales]]-financials[[#This Row],[Budget]]</f>
        <v>796.41599999999744</v>
      </c>
      <c r="O197" s="10">
        <f>(financials[[#This Row],[Sales]]-financials[[#This Row],[Budget]])/financials[[#This Row],[Budget]]</f>
        <v>2.0408163265306055E-2</v>
      </c>
      <c r="P197" s="6">
        <v>41883</v>
      </c>
      <c r="Q197" s="8">
        <v>9</v>
      </c>
      <c r="R197" s="5" t="s">
        <v>29</v>
      </c>
      <c r="S197" s="7" t="s">
        <v>15</v>
      </c>
    </row>
    <row r="198" spans="1:19" x14ac:dyDescent="0.25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1">
        <v>22708.224000000002</v>
      </c>
      <c r="N198" s="1">
        <f>financials[[#This Row],[Sales]]-financials[[#This Row],[Budget]]</f>
        <v>-2433.0240000000013</v>
      </c>
      <c r="O198" s="10">
        <f>(financials[[#This Row],[Sales]]-financials[[#This Row],[Budget]])/financials[[#This Row],[Budget]]</f>
        <v>-0.10714285714285719</v>
      </c>
      <c r="P198" s="6">
        <v>41883</v>
      </c>
      <c r="Q198" s="8">
        <v>9</v>
      </c>
      <c r="R198" s="5" t="s">
        <v>29</v>
      </c>
      <c r="S198" s="7" t="s">
        <v>15</v>
      </c>
    </row>
    <row r="199" spans="1:19" x14ac:dyDescent="0.25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1">
        <v>9662.4</v>
      </c>
      <c r="N199" s="1">
        <f>financials[[#This Row],[Sales]]-financials[[#This Row],[Budget]]</f>
        <v>0</v>
      </c>
      <c r="O199" s="10">
        <f>(financials[[#This Row],[Sales]]-financials[[#This Row],[Budget]])/financials[[#This Row],[Budget]]</f>
        <v>0</v>
      </c>
      <c r="P199" s="6">
        <v>41548</v>
      </c>
      <c r="Q199" s="8">
        <v>10</v>
      </c>
      <c r="R199" s="5" t="s">
        <v>30</v>
      </c>
      <c r="S199" s="7" t="s">
        <v>14</v>
      </c>
    </row>
    <row r="200" spans="1:19" x14ac:dyDescent="0.25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1">
        <v>23545.727999999999</v>
      </c>
      <c r="N200" s="1">
        <f>financials[[#This Row],[Sales]]-financials[[#This Row],[Budget]]</f>
        <v>-1744.1280000000006</v>
      </c>
      <c r="O200" s="10">
        <f>(financials[[#This Row],[Sales]]-financials[[#This Row],[Budget]])/financials[[#This Row],[Budget]]</f>
        <v>-7.4074074074074098E-2</v>
      </c>
      <c r="P200" s="6">
        <v>41548</v>
      </c>
      <c r="Q200" s="8">
        <v>10</v>
      </c>
      <c r="R200" s="5" t="s">
        <v>30</v>
      </c>
      <c r="S200" s="7" t="s">
        <v>14</v>
      </c>
    </row>
    <row r="201" spans="1:19" x14ac:dyDescent="0.25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1">
        <v>91143.360000000001</v>
      </c>
      <c r="N201" s="1">
        <f>financials[[#This Row],[Sales]]-financials[[#This Row],[Budget]]</f>
        <v>920.63999999999942</v>
      </c>
      <c r="O201" s="10">
        <f>(financials[[#This Row],[Sales]]-financials[[#This Row],[Budget]])/financials[[#This Row],[Budget]]</f>
        <v>1.0101010101010095E-2</v>
      </c>
      <c r="P201" s="6">
        <v>41974</v>
      </c>
      <c r="Q201" s="8">
        <v>12</v>
      </c>
      <c r="R201" s="5" t="s">
        <v>32</v>
      </c>
      <c r="S201" s="7" t="s">
        <v>15</v>
      </c>
    </row>
    <row r="202" spans="1:19" x14ac:dyDescent="0.25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1">
        <v>127000.8</v>
      </c>
      <c r="N202" s="1">
        <f>financials[[#This Row],[Sales]]-financials[[#This Row],[Budget]]</f>
        <v>9559.1999999999971</v>
      </c>
      <c r="O202" s="10">
        <f>(financials[[#This Row],[Sales]]-financials[[#This Row],[Budget]])/financials[[#This Row],[Budget]]</f>
        <v>7.526881720430105E-2</v>
      </c>
      <c r="P202" s="6">
        <v>41974</v>
      </c>
      <c r="Q202" s="8">
        <v>12</v>
      </c>
      <c r="R202" s="5" t="s">
        <v>32</v>
      </c>
      <c r="S202" s="7" t="s">
        <v>15</v>
      </c>
    </row>
    <row r="203" spans="1:19" x14ac:dyDescent="0.25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1">
        <v>18733.248</v>
      </c>
      <c r="N203" s="1">
        <f>financials[[#This Row],[Sales]]-financials[[#This Row],[Budget]]</f>
        <v>-1856.4480000000003</v>
      </c>
      <c r="O203" s="10">
        <f>(financials[[#This Row],[Sales]]-financials[[#This Row],[Budget]])/financials[[#This Row],[Budget]]</f>
        <v>-9.9099099099099114E-2</v>
      </c>
      <c r="P203" s="6">
        <v>41699</v>
      </c>
      <c r="Q203" s="8">
        <v>3</v>
      </c>
      <c r="R203" s="5" t="s">
        <v>23</v>
      </c>
      <c r="S203" s="7" t="s">
        <v>15</v>
      </c>
    </row>
    <row r="204" spans="1:19" x14ac:dyDescent="0.25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1">
        <v>53343.360000000001</v>
      </c>
      <c r="N204" s="1">
        <f>financials[[#This Row],[Sales]]-financials[[#This Row],[Budget]]</f>
        <v>-2540.1600000000035</v>
      </c>
      <c r="O204" s="10">
        <f>(financials[[#This Row],[Sales]]-financials[[#This Row],[Budget]])/financials[[#This Row],[Budget]]</f>
        <v>-4.7619047619047686E-2</v>
      </c>
      <c r="P204" s="6">
        <v>41518</v>
      </c>
      <c r="Q204" s="8">
        <v>9</v>
      </c>
      <c r="R204" s="5" t="s">
        <v>29</v>
      </c>
      <c r="S204" s="7" t="s">
        <v>14</v>
      </c>
    </row>
    <row r="205" spans="1:19" x14ac:dyDescent="0.25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1">
        <v>731472</v>
      </c>
      <c r="N205" s="1">
        <f>financials[[#This Row],[Sales]]-financials[[#This Row],[Budget]]</f>
        <v>0</v>
      </c>
      <c r="O205" s="10">
        <f>(financials[[#This Row],[Sales]]-financials[[#This Row],[Budget]])/financials[[#This Row],[Budget]]</f>
        <v>0</v>
      </c>
      <c r="P205" s="6">
        <v>41913</v>
      </c>
      <c r="Q205" s="8">
        <v>10</v>
      </c>
      <c r="R205" s="5" t="s">
        <v>30</v>
      </c>
      <c r="S205" s="7" t="s">
        <v>15</v>
      </c>
    </row>
    <row r="206" spans="1:19" x14ac:dyDescent="0.25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1">
        <v>9078.4511999999995</v>
      </c>
      <c r="N206" s="1">
        <f>financials[[#This Row],[Sales]]-financials[[#This Row],[Budget]]</f>
        <v>897.86880000000019</v>
      </c>
      <c r="O206" s="10">
        <f>(financials[[#This Row],[Sales]]-financials[[#This Row],[Budget]])/financials[[#This Row],[Budget]]</f>
        <v>9.8901098901098924E-2</v>
      </c>
      <c r="P206" s="6">
        <v>41760</v>
      </c>
      <c r="Q206" s="8">
        <v>5</v>
      </c>
      <c r="R206" s="5" t="s">
        <v>25</v>
      </c>
      <c r="S206" s="7" t="s">
        <v>15</v>
      </c>
    </row>
    <row r="207" spans="1:19" x14ac:dyDescent="0.25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1">
        <v>116091.36</v>
      </c>
      <c r="N207" s="1">
        <f>financials[[#This Row],[Sales]]-financials[[#This Row],[Budget]]</f>
        <v>1172.6399999999994</v>
      </c>
      <c r="O207" s="10">
        <f>(financials[[#This Row],[Sales]]-financials[[#This Row],[Budget]])/financials[[#This Row],[Budget]]</f>
        <v>1.0101010101010097E-2</v>
      </c>
      <c r="P207" s="6">
        <v>41518</v>
      </c>
      <c r="Q207" s="8">
        <v>9</v>
      </c>
      <c r="R207" s="5" t="s">
        <v>29</v>
      </c>
      <c r="S207" s="7" t="s">
        <v>14</v>
      </c>
    </row>
    <row r="208" spans="1:19" x14ac:dyDescent="0.25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1">
        <v>716842.55999999994</v>
      </c>
      <c r="N208" s="1">
        <f>financials[[#This Row],[Sales]]-financials[[#This Row],[Budget]]</f>
        <v>14629.440000000061</v>
      </c>
      <c r="O208" s="10">
        <f>(financials[[#This Row],[Sales]]-financials[[#This Row],[Budget]])/financials[[#This Row],[Budget]]</f>
        <v>2.0408163265306208E-2</v>
      </c>
      <c r="P208" s="6">
        <v>41913</v>
      </c>
      <c r="Q208" s="8">
        <v>10</v>
      </c>
      <c r="R208" s="5" t="s">
        <v>30</v>
      </c>
      <c r="S208" s="7" t="s">
        <v>15</v>
      </c>
    </row>
    <row r="209" spans="1:19" x14ac:dyDescent="0.25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1">
        <v>19621.439999999999</v>
      </c>
      <c r="N209" s="1">
        <f>financials[[#This Row],[Sales]]-financials[[#This Row],[Budget]]</f>
        <v>2180.16</v>
      </c>
      <c r="O209" s="10">
        <f>(financials[[#This Row],[Sales]]-financials[[#This Row],[Budget]])/financials[[#This Row],[Budget]]</f>
        <v>0.1111111111111111</v>
      </c>
      <c r="P209" s="6">
        <v>41548</v>
      </c>
      <c r="Q209" s="8">
        <v>10</v>
      </c>
      <c r="R209" s="5" t="s">
        <v>30</v>
      </c>
      <c r="S209" s="7" t="s">
        <v>14</v>
      </c>
    </row>
    <row r="210" spans="1:19" x14ac:dyDescent="0.25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1">
        <v>720636</v>
      </c>
      <c r="N210" s="1">
        <f>financials[[#This Row],[Sales]]-financials[[#This Row],[Budget]]</f>
        <v>-93996</v>
      </c>
      <c r="O210" s="10">
        <f>(financials[[#This Row],[Sales]]-financials[[#This Row],[Budget]])/financials[[#This Row],[Budget]]</f>
        <v>-0.13043478260869565</v>
      </c>
      <c r="P210" s="6">
        <v>41671</v>
      </c>
      <c r="Q210" s="8">
        <v>2</v>
      </c>
      <c r="R210" s="5" t="s">
        <v>22</v>
      </c>
      <c r="S210" s="7" t="s">
        <v>15</v>
      </c>
    </row>
    <row r="211" spans="1:19" x14ac:dyDescent="0.25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1">
        <v>145634.4</v>
      </c>
      <c r="N211" s="1">
        <f>financials[[#This Row],[Sales]]-financials[[#This Row],[Budget]]</f>
        <v>-16754.399999999994</v>
      </c>
      <c r="O211" s="10">
        <f>(financials[[#This Row],[Sales]]-financials[[#This Row],[Budget]])/financials[[#This Row],[Budget]]</f>
        <v>-0.11504424778761059</v>
      </c>
      <c r="P211" s="6">
        <v>41730</v>
      </c>
      <c r="Q211" s="8">
        <v>4</v>
      </c>
      <c r="R211" s="5" t="s">
        <v>24</v>
      </c>
      <c r="S211" s="7" t="s">
        <v>15</v>
      </c>
    </row>
    <row r="212" spans="1:19" x14ac:dyDescent="0.25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1">
        <v>595899.36</v>
      </c>
      <c r="N212" s="1">
        <f>financials[[#This Row],[Sales]]-financials[[#This Row],[Budget]]</f>
        <v>44852.640000000014</v>
      </c>
      <c r="O212" s="10">
        <f>(financials[[#This Row],[Sales]]-financials[[#This Row],[Budget]])/financials[[#This Row],[Budget]]</f>
        <v>7.5268817204301106E-2</v>
      </c>
      <c r="P212" s="6">
        <v>41883</v>
      </c>
      <c r="Q212" s="8">
        <v>9</v>
      </c>
      <c r="R212" s="5" t="s">
        <v>29</v>
      </c>
      <c r="S212" s="7" t="s">
        <v>15</v>
      </c>
    </row>
    <row r="213" spans="1:19" x14ac:dyDescent="0.25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1">
        <v>8986.0319999999992</v>
      </c>
      <c r="N213" s="1">
        <f>financials[[#This Row],[Sales]]-financials[[#This Row],[Budget]]</f>
        <v>676.36800000000039</v>
      </c>
      <c r="O213" s="10">
        <f>(financials[[#This Row],[Sales]]-financials[[#This Row],[Budget]])/financials[[#This Row],[Budget]]</f>
        <v>7.5268817204301119E-2</v>
      </c>
      <c r="P213" s="6">
        <v>41548</v>
      </c>
      <c r="Q213" s="8">
        <v>10</v>
      </c>
      <c r="R213" s="5" t="s">
        <v>30</v>
      </c>
      <c r="S213" s="7" t="s">
        <v>14</v>
      </c>
    </row>
    <row r="214" spans="1:19" x14ac:dyDescent="0.25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1">
        <v>525719.04000000004</v>
      </c>
      <c r="N214" s="1">
        <f>financials[[#This Row],[Sales]]-financials[[#This Row],[Budget]]</f>
        <v>71688.959999999963</v>
      </c>
      <c r="O214" s="10">
        <f>(financials[[#This Row],[Sales]]-financials[[#This Row],[Budget]])/financials[[#This Row],[Budget]]</f>
        <v>0.13636363636363627</v>
      </c>
      <c r="P214" s="6">
        <v>41609</v>
      </c>
      <c r="Q214" s="8">
        <v>12</v>
      </c>
      <c r="R214" s="5" t="s">
        <v>32</v>
      </c>
      <c r="S214" s="7" t="s">
        <v>14</v>
      </c>
    </row>
    <row r="215" spans="1:19" x14ac:dyDescent="0.25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1">
        <v>8863.4524999999994</v>
      </c>
      <c r="N215" s="1">
        <f>financials[[#This Row],[Sales]]-financials[[#This Row],[Budget]]</f>
        <v>-1156.1024999999991</v>
      </c>
      <c r="O215" s="10">
        <f>(financials[[#This Row],[Sales]]-financials[[#This Row],[Budget]])/financials[[#This Row],[Budget]]</f>
        <v>-0.13043478260869557</v>
      </c>
      <c r="P215" s="6">
        <v>41548</v>
      </c>
      <c r="Q215" s="8">
        <v>10</v>
      </c>
      <c r="R215" s="5" t="s">
        <v>30</v>
      </c>
      <c r="S215" s="7" t="s">
        <v>14</v>
      </c>
    </row>
    <row r="216" spans="1:19" x14ac:dyDescent="0.25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1">
        <v>9032.5619999999999</v>
      </c>
      <c r="N216" s="1">
        <f>financials[[#This Row],[Sales]]-financials[[#This Row],[Budget]]</f>
        <v>91.237999999999374</v>
      </c>
      <c r="O216" s="10">
        <f>(financials[[#This Row],[Sales]]-financials[[#This Row],[Budget]])/financials[[#This Row],[Budget]]</f>
        <v>1.0101010101010032E-2</v>
      </c>
      <c r="P216" s="6">
        <v>41640</v>
      </c>
      <c r="Q216" s="8">
        <v>1</v>
      </c>
      <c r="R216" s="5" t="s">
        <v>21</v>
      </c>
      <c r="S216" s="7" t="s">
        <v>15</v>
      </c>
    </row>
    <row r="217" spans="1:19" x14ac:dyDescent="0.25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1">
        <v>13746.348</v>
      </c>
      <c r="N217" s="1">
        <f>financials[[#This Row],[Sales]]-financials[[#This Row],[Budget]]</f>
        <v>1874.5020000000004</v>
      </c>
      <c r="O217" s="10">
        <f>(financials[[#This Row],[Sales]]-financials[[#This Row],[Budget]])/financials[[#This Row],[Budget]]</f>
        <v>0.13636363636363638</v>
      </c>
      <c r="P217" s="6">
        <v>41518</v>
      </c>
      <c r="Q217" s="8">
        <v>9</v>
      </c>
      <c r="R217" s="5" t="s">
        <v>29</v>
      </c>
      <c r="S217" s="7" t="s">
        <v>14</v>
      </c>
    </row>
    <row r="218" spans="1:19" x14ac:dyDescent="0.25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1">
        <v>16808.938999999998</v>
      </c>
      <c r="N218" s="1">
        <f>financials[[#This Row],[Sales]]-financials[[#This Row],[Budget]]</f>
        <v>1072.9110000000001</v>
      </c>
      <c r="O218" s="10">
        <f>(financials[[#This Row],[Sales]]-financials[[#This Row],[Budget]])/financials[[#This Row],[Budget]]</f>
        <v>6.3829787234042562E-2</v>
      </c>
      <c r="P218" s="6">
        <v>41913</v>
      </c>
      <c r="Q218" s="8">
        <v>10</v>
      </c>
      <c r="R218" s="5" t="s">
        <v>30</v>
      </c>
      <c r="S218" s="7" t="s">
        <v>15</v>
      </c>
    </row>
    <row r="219" spans="1:19" x14ac:dyDescent="0.25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1">
        <v>30484.740000000005</v>
      </c>
      <c r="N219" s="1">
        <f>financials[[#This Row],[Sales]]-financials[[#This Row],[Budget]]</f>
        <v>-2771.3400000000038</v>
      </c>
      <c r="O219" s="10">
        <f>(financials[[#This Row],[Sales]]-financials[[#This Row],[Budget]])/financials[[#This Row],[Budget]]</f>
        <v>-9.0909090909091023E-2</v>
      </c>
      <c r="P219" s="6">
        <v>41974</v>
      </c>
      <c r="Q219" s="8">
        <v>12</v>
      </c>
      <c r="R219" s="5" t="s">
        <v>32</v>
      </c>
      <c r="S219" s="7" t="s">
        <v>15</v>
      </c>
    </row>
    <row r="220" spans="1:19" x14ac:dyDescent="0.25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1">
        <v>24387.792000000001</v>
      </c>
      <c r="N220" s="1">
        <f>financials[[#This Row],[Sales]]-financials[[#This Row],[Budget]]</f>
        <v>3325.6080000000002</v>
      </c>
      <c r="O220" s="10">
        <f>(financials[[#This Row],[Sales]]-financials[[#This Row],[Budget]])/financials[[#This Row],[Budget]]</f>
        <v>0.13636363636363635</v>
      </c>
      <c r="P220" s="6">
        <v>41974</v>
      </c>
      <c r="Q220" s="8">
        <v>12</v>
      </c>
      <c r="R220" s="5" t="s">
        <v>32</v>
      </c>
      <c r="S220" s="7" t="s">
        <v>15</v>
      </c>
    </row>
    <row r="221" spans="1:19" x14ac:dyDescent="0.25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1">
        <v>17345.394499999999</v>
      </c>
      <c r="N221" s="1">
        <f>financials[[#This Row],[Sales]]-financials[[#This Row],[Budget]]</f>
        <v>536.45550000000003</v>
      </c>
      <c r="O221" s="10">
        <f>(financials[[#This Row],[Sales]]-financials[[#This Row],[Budget]])/financials[[#This Row],[Budget]]</f>
        <v>3.0927835051546396E-2</v>
      </c>
      <c r="P221" s="6">
        <v>41913</v>
      </c>
      <c r="Q221" s="8">
        <v>10</v>
      </c>
      <c r="R221" s="5" t="s">
        <v>30</v>
      </c>
      <c r="S221" s="7" t="s">
        <v>15</v>
      </c>
    </row>
    <row r="222" spans="1:19" x14ac:dyDescent="0.25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1">
        <v>9848.9160000000011</v>
      </c>
      <c r="N222" s="1">
        <f>financials[[#This Row],[Sales]]-financials[[#This Row],[Budget]]</f>
        <v>1343.0339999999997</v>
      </c>
      <c r="O222" s="10">
        <f>(financials[[#This Row],[Sales]]-financials[[#This Row],[Budget]])/financials[[#This Row],[Budget]]</f>
        <v>0.13636363636363633</v>
      </c>
      <c r="P222" s="6">
        <v>41821</v>
      </c>
      <c r="Q222" s="8">
        <v>7</v>
      </c>
      <c r="R222" s="5" t="s">
        <v>27</v>
      </c>
      <c r="S222" s="7" t="s">
        <v>15</v>
      </c>
    </row>
    <row r="223" spans="1:19" x14ac:dyDescent="0.25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1">
        <v>12674.178</v>
      </c>
      <c r="N223" s="1">
        <f>financials[[#This Row],[Sales]]-financials[[#This Row],[Budget]]</f>
        <v>128.02200000000084</v>
      </c>
      <c r="O223" s="10">
        <f>(financials[[#This Row],[Sales]]-financials[[#This Row],[Budget]])/financials[[#This Row],[Budget]]</f>
        <v>1.0101010101010168E-2</v>
      </c>
      <c r="P223" s="6">
        <v>41852</v>
      </c>
      <c r="Q223" s="8">
        <v>8</v>
      </c>
      <c r="R223" s="5" t="s">
        <v>28</v>
      </c>
      <c r="S223" s="7" t="s">
        <v>15</v>
      </c>
    </row>
    <row r="224" spans="1:19" x14ac:dyDescent="0.25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1">
        <v>7090.7620000000006</v>
      </c>
      <c r="N224" s="1">
        <f>financials[[#This Row],[Sales]]-financials[[#This Row],[Budget]]</f>
        <v>616.58799999999974</v>
      </c>
      <c r="O224" s="10">
        <f>(financials[[#This Row],[Sales]]-financials[[#This Row],[Budget]])/financials[[#This Row],[Budget]]</f>
        <v>8.6956521739130391E-2</v>
      </c>
      <c r="P224" s="6">
        <v>41548</v>
      </c>
      <c r="Q224" s="8">
        <v>10</v>
      </c>
      <c r="R224" s="5" t="s">
        <v>30</v>
      </c>
      <c r="S224" s="7" t="s">
        <v>14</v>
      </c>
    </row>
    <row r="225" spans="1:19" x14ac:dyDescent="0.25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1">
        <v>22536.66</v>
      </c>
      <c r="N225" s="1">
        <f>financials[[#This Row],[Sales]]-financials[[#This Row],[Budget]]</f>
        <v>-1275.6599999999999</v>
      </c>
      <c r="O225" s="10">
        <f>(financials[[#This Row],[Sales]]-financials[[#This Row],[Budget]])/financials[[#This Row],[Budget]]</f>
        <v>-5.6603773584905655E-2</v>
      </c>
      <c r="P225" s="6">
        <v>41671</v>
      </c>
      <c r="Q225" s="8">
        <v>2</v>
      </c>
      <c r="R225" s="5" t="s">
        <v>22</v>
      </c>
      <c r="S225" s="7" t="s">
        <v>15</v>
      </c>
    </row>
    <row r="226" spans="1:19" x14ac:dyDescent="0.25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1">
        <v>13104.072</v>
      </c>
      <c r="N226" s="1">
        <f>financials[[#This Row],[Sales]]-financials[[#This Row],[Budget]]</f>
        <v>-381.67200000000048</v>
      </c>
      <c r="O226" s="10">
        <f>(financials[[#This Row],[Sales]]-financials[[#This Row],[Budget]])/financials[[#This Row],[Budget]]</f>
        <v>-2.9126213592233045E-2</v>
      </c>
      <c r="P226" s="6">
        <v>41671</v>
      </c>
      <c r="Q226" s="8">
        <v>2</v>
      </c>
      <c r="R226" s="5" t="s">
        <v>22</v>
      </c>
      <c r="S226" s="7" t="s">
        <v>15</v>
      </c>
    </row>
    <row r="227" spans="1:19" x14ac:dyDescent="0.25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1">
        <v>26430.33</v>
      </c>
      <c r="N227" s="1">
        <f>financials[[#This Row],[Sales]]-financials[[#This Row],[Budget]]</f>
        <v>3266.6699999999983</v>
      </c>
      <c r="O227" s="10">
        <f>(financials[[#This Row],[Sales]]-financials[[#This Row],[Budget]])/financials[[#This Row],[Budget]]</f>
        <v>0.12359550561797746</v>
      </c>
      <c r="P227" s="6">
        <v>41760</v>
      </c>
      <c r="Q227" s="8">
        <v>5</v>
      </c>
      <c r="R227" s="5" t="s">
        <v>25</v>
      </c>
      <c r="S227" s="7" t="s">
        <v>15</v>
      </c>
    </row>
    <row r="228" spans="1:19" x14ac:dyDescent="0.25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1">
        <v>276786.3</v>
      </c>
      <c r="N228" s="1">
        <f>financials[[#This Row],[Sales]]-financials[[#This Row],[Budget]]</f>
        <v>5648.7000000000116</v>
      </c>
      <c r="O228" s="10">
        <f>(financials[[#This Row],[Sales]]-financials[[#This Row],[Budget]])/financials[[#This Row],[Budget]]</f>
        <v>2.0408163265306166E-2</v>
      </c>
      <c r="P228" s="6">
        <v>41791</v>
      </c>
      <c r="Q228" s="8">
        <v>6</v>
      </c>
      <c r="R228" s="5" t="s">
        <v>26</v>
      </c>
      <c r="S228" s="7" t="s">
        <v>15</v>
      </c>
    </row>
    <row r="229" spans="1:19" x14ac:dyDescent="0.25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1">
        <v>7026.6559999999999</v>
      </c>
      <c r="N229" s="1">
        <f>financials[[#This Row],[Sales]]-financials[[#This Row],[Budget]]</f>
        <v>-270.25600000000031</v>
      </c>
      <c r="O229" s="10">
        <f>(financials[[#This Row],[Sales]]-financials[[#This Row],[Budget]])/financials[[#This Row],[Budget]]</f>
        <v>-3.8461538461538505E-2</v>
      </c>
      <c r="P229" s="6">
        <v>41579</v>
      </c>
      <c r="Q229" s="8">
        <v>11</v>
      </c>
      <c r="R229" s="5" t="s">
        <v>31</v>
      </c>
      <c r="S229" s="7" t="s">
        <v>14</v>
      </c>
    </row>
    <row r="230" spans="1:19" x14ac:dyDescent="0.25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1">
        <v>33805.987499999996</v>
      </c>
      <c r="N230" s="1">
        <f>financials[[#This Row],[Sales]]-financials[[#This Row],[Budget]]</f>
        <v>5965.7625000000044</v>
      </c>
      <c r="O230" s="10">
        <f>(financials[[#This Row],[Sales]]-financials[[#This Row],[Budget]])/financials[[#This Row],[Budget]]</f>
        <v>0.17647058823529427</v>
      </c>
      <c r="P230" s="6">
        <v>41944</v>
      </c>
      <c r="Q230" s="8">
        <v>11</v>
      </c>
      <c r="R230" s="5" t="s">
        <v>31</v>
      </c>
      <c r="S230" s="7" t="s">
        <v>15</v>
      </c>
    </row>
    <row r="231" spans="1:19" x14ac:dyDescent="0.25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1">
        <v>4093.7400000000002</v>
      </c>
      <c r="N231" s="1">
        <f>financials[[#This Row],[Sales]]-financials[[#This Row],[Budget]]</f>
        <v>-303.24000000000024</v>
      </c>
      <c r="O231" s="10">
        <f>(financials[[#This Row],[Sales]]-financials[[#This Row],[Budget]])/financials[[#This Row],[Budget]]</f>
        <v>-7.4074074074074125E-2</v>
      </c>
      <c r="P231" s="6">
        <v>41974</v>
      </c>
      <c r="Q231" s="8">
        <v>12</v>
      </c>
      <c r="R231" s="5" t="s">
        <v>32</v>
      </c>
      <c r="S231" s="7" t="s">
        <v>15</v>
      </c>
    </row>
    <row r="232" spans="1:19" x14ac:dyDescent="0.25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1">
        <v>15711.622499999998</v>
      </c>
      <c r="N232" s="1">
        <f>financials[[#This Row],[Sales]]-financials[[#This Row],[Budget]]</f>
        <v>826.9275000000016</v>
      </c>
      <c r="O232" s="10">
        <f>(financials[[#This Row],[Sales]]-financials[[#This Row],[Budget]])/financials[[#This Row],[Budget]]</f>
        <v>5.2631578947368529E-2</v>
      </c>
      <c r="P232" s="6">
        <v>41974</v>
      </c>
      <c r="Q232" s="8">
        <v>12</v>
      </c>
      <c r="R232" s="5" t="s">
        <v>32</v>
      </c>
      <c r="S232" s="7" t="s">
        <v>15</v>
      </c>
    </row>
    <row r="233" spans="1:19" x14ac:dyDescent="0.25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1">
        <v>520191.26249999995</v>
      </c>
      <c r="N233" s="1">
        <f>financials[[#This Row],[Sales]]-financials[[#This Row],[Budget]]</f>
        <v>-59845.012499999953</v>
      </c>
      <c r="O233" s="10">
        <f>(financials[[#This Row],[Sales]]-financials[[#This Row],[Budget]])/financials[[#This Row],[Budget]]</f>
        <v>-0.11504424778761053</v>
      </c>
      <c r="P233" s="6">
        <v>41640</v>
      </c>
      <c r="Q233" s="8">
        <v>1</v>
      </c>
      <c r="R233" s="5" t="s">
        <v>21</v>
      </c>
      <c r="S233" s="7" t="s">
        <v>15</v>
      </c>
    </row>
    <row r="234" spans="1:19" x14ac:dyDescent="0.25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1">
        <v>469469.81250000006</v>
      </c>
      <c r="N234" s="1">
        <f>financials[[#This Row],[Sales]]-financials[[#This Row],[Budget]]</f>
        <v>-38763.562500000058</v>
      </c>
      <c r="O234" s="10">
        <f>(financials[[#This Row],[Sales]]-financials[[#This Row],[Budget]])/financials[[#This Row],[Budget]]</f>
        <v>-8.2568807339449657E-2</v>
      </c>
      <c r="P234" s="6">
        <v>41821</v>
      </c>
      <c r="Q234" s="8">
        <v>7</v>
      </c>
      <c r="R234" s="5" t="s">
        <v>27</v>
      </c>
      <c r="S234" s="7" t="s">
        <v>15</v>
      </c>
    </row>
    <row r="235" spans="1:19" x14ac:dyDescent="0.25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1">
        <v>260946.00000000003</v>
      </c>
      <c r="N235" s="1">
        <f>financials[[#This Row],[Sales]]-financials[[#This Row],[Budget]]</f>
        <v>-21546.000000000029</v>
      </c>
      <c r="O235" s="10">
        <f>(financials[[#This Row],[Sales]]-financials[[#This Row],[Budget]])/financials[[#This Row],[Budget]]</f>
        <v>-8.2568807339449643E-2</v>
      </c>
      <c r="P235" s="6">
        <v>41518</v>
      </c>
      <c r="Q235" s="8">
        <v>9</v>
      </c>
      <c r="R235" s="5" t="s">
        <v>29</v>
      </c>
      <c r="S235" s="7" t="s">
        <v>14</v>
      </c>
    </row>
    <row r="236" spans="1:19" x14ac:dyDescent="0.25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1">
        <v>29368.68</v>
      </c>
      <c r="N236" s="1">
        <f>financials[[#This Row],[Sales]]-financials[[#This Row],[Budget]]</f>
        <v>-2669.880000000001</v>
      </c>
      <c r="O236" s="10">
        <f>(financials[[#This Row],[Sales]]-financials[[#This Row],[Budget]])/financials[[#This Row],[Budget]]</f>
        <v>-9.0909090909090939E-2</v>
      </c>
      <c r="P236" s="6">
        <v>41944</v>
      </c>
      <c r="Q236" s="8">
        <v>11</v>
      </c>
      <c r="R236" s="5" t="s">
        <v>31</v>
      </c>
      <c r="S236" s="7" t="s">
        <v>15</v>
      </c>
    </row>
    <row r="237" spans="1:19" x14ac:dyDescent="0.25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1">
        <v>335445</v>
      </c>
      <c r="N237" s="1">
        <f>financials[[#This Row],[Sales]]-financials[[#This Row],[Budget]]</f>
        <v>-21945</v>
      </c>
      <c r="O237" s="10">
        <f>(financials[[#This Row],[Sales]]-financials[[#This Row],[Budget]])/financials[[#This Row],[Budget]]</f>
        <v>-6.5420560747663545E-2</v>
      </c>
      <c r="P237" s="6">
        <v>41609</v>
      </c>
      <c r="Q237" s="8">
        <v>12</v>
      </c>
      <c r="R237" s="5" t="s">
        <v>32</v>
      </c>
      <c r="S237" s="7" t="s">
        <v>14</v>
      </c>
    </row>
    <row r="238" spans="1:19" x14ac:dyDescent="0.25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1">
        <v>24014.29</v>
      </c>
      <c r="N238" s="1">
        <f>financials[[#This Row],[Sales]]-financials[[#This Row],[Budget]]</f>
        <v>742.70999999999913</v>
      </c>
      <c r="O238" s="10">
        <f>(financials[[#This Row],[Sales]]-financials[[#This Row],[Budget]])/financials[[#This Row],[Budget]]</f>
        <v>3.0927835051546355E-2</v>
      </c>
      <c r="P238" s="6">
        <v>41671</v>
      </c>
      <c r="Q238" s="8">
        <v>2</v>
      </c>
      <c r="R238" s="5" t="s">
        <v>22</v>
      </c>
      <c r="S238" s="7" t="s">
        <v>15</v>
      </c>
    </row>
    <row r="239" spans="1:19" x14ac:dyDescent="0.25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1">
        <v>341088</v>
      </c>
      <c r="N239" s="1">
        <f>financials[[#This Row],[Sales]]-financials[[#This Row],[Budget]]</f>
        <v>14212</v>
      </c>
      <c r="O239" s="10">
        <f>(financials[[#This Row],[Sales]]-financials[[#This Row],[Budget]])/financials[[#This Row],[Budget]]</f>
        <v>4.1666666666666664E-2</v>
      </c>
      <c r="P239" s="6">
        <v>41699</v>
      </c>
      <c r="Q239" s="8">
        <v>3</v>
      </c>
      <c r="R239" s="5" t="s">
        <v>23</v>
      </c>
      <c r="S239" s="7" t="s">
        <v>15</v>
      </c>
    </row>
    <row r="240" spans="1:19" x14ac:dyDescent="0.25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1">
        <v>252064.6875</v>
      </c>
      <c r="N240" s="1">
        <f>financials[[#This Row],[Sales]]-financials[[#This Row],[Budget]]</f>
        <v>31154.0625</v>
      </c>
      <c r="O240" s="10">
        <f>(financials[[#This Row],[Sales]]-financials[[#This Row],[Budget]])/financials[[#This Row],[Budget]]</f>
        <v>0.12359550561797752</v>
      </c>
      <c r="P240" s="6">
        <v>41699</v>
      </c>
      <c r="Q240" s="8">
        <v>3</v>
      </c>
      <c r="R240" s="5" t="s">
        <v>23</v>
      </c>
      <c r="S240" s="7" t="s">
        <v>15</v>
      </c>
    </row>
    <row r="241" spans="1:19" x14ac:dyDescent="0.25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1">
        <v>412195.5</v>
      </c>
      <c r="N241" s="1">
        <f>financials[[#This Row],[Sales]]-financials[[#This Row],[Budget]]</f>
        <v>45799.5</v>
      </c>
      <c r="O241" s="10">
        <f>(financials[[#This Row],[Sales]]-financials[[#This Row],[Budget]])/financials[[#This Row],[Budget]]</f>
        <v>0.1111111111111111</v>
      </c>
      <c r="P241" s="6">
        <v>41730</v>
      </c>
      <c r="Q241" s="8">
        <v>4</v>
      </c>
      <c r="R241" s="5" t="s">
        <v>24</v>
      </c>
      <c r="S241" s="7" t="s">
        <v>15</v>
      </c>
    </row>
    <row r="242" spans="1:19" x14ac:dyDescent="0.25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1">
        <v>17022.005000000001</v>
      </c>
      <c r="N242" s="1">
        <f>financials[[#This Row],[Sales]]-financials[[#This Row],[Budget]]</f>
        <v>-1547.4550000000017</v>
      </c>
      <c r="O242" s="10">
        <f>(financials[[#This Row],[Sales]]-financials[[#This Row],[Budget]])/financials[[#This Row],[Budget]]</f>
        <v>-9.0909090909091009E-2</v>
      </c>
      <c r="P242" s="6">
        <v>41760</v>
      </c>
      <c r="Q242" s="8">
        <v>5</v>
      </c>
      <c r="R242" s="5" t="s">
        <v>25</v>
      </c>
      <c r="S242" s="7" t="s">
        <v>15</v>
      </c>
    </row>
    <row r="243" spans="1:19" x14ac:dyDescent="0.25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1">
        <v>316327.2</v>
      </c>
      <c r="N243" s="1">
        <f>financials[[#This Row],[Sales]]-financials[[#This Row],[Budget]]</f>
        <v>-33892.200000000012</v>
      </c>
      <c r="O243" s="10">
        <f>(financials[[#This Row],[Sales]]-financials[[#This Row],[Budget]])/financials[[#This Row],[Budget]]</f>
        <v>-0.10714285714285718</v>
      </c>
      <c r="P243" s="6">
        <v>41791</v>
      </c>
      <c r="Q243" s="8">
        <v>6</v>
      </c>
      <c r="R243" s="5" t="s">
        <v>26</v>
      </c>
      <c r="S243" s="7" t="s">
        <v>15</v>
      </c>
    </row>
    <row r="244" spans="1:19" x14ac:dyDescent="0.25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1">
        <v>184151.80000000002</v>
      </c>
      <c r="N244" s="1">
        <f>financials[[#This Row],[Sales]]-financials[[#This Row],[Budget]]</f>
        <v>16013.199999999983</v>
      </c>
      <c r="O244" s="10">
        <f>(financials[[#This Row],[Sales]]-financials[[#This Row],[Budget]])/financials[[#This Row],[Budget]]</f>
        <v>8.6956521739130335E-2</v>
      </c>
      <c r="P244" s="6">
        <v>41791</v>
      </c>
      <c r="Q244" s="8">
        <v>6</v>
      </c>
      <c r="R244" s="5" t="s">
        <v>26</v>
      </c>
      <c r="S244" s="7" t="s">
        <v>15</v>
      </c>
    </row>
    <row r="245" spans="1:19" x14ac:dyDescent="0.25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1">
        <v>32854.800000000003</v>
      </c>
      <c r="N245" s="1">
        <f>financials[[#This Row],[Sales]]-financials[[#This Row],[Budget]]</f>
        <v>4480.1999999999971</v>
      </c>
      <c r="O245" s="10">
        <f>(financials[[#This Row],[Sales]]-financials[[#This Row],[Budget]])/financials[[#This Row],[Budget]]</f>
        <v>0.13636363636363627</v>
      </c>
      <c r="P245" s="6">
        <v>41883</v>
      </c>
      <c r="Q245" s="8">
        <v>9</v>
      </c>
      <c r="R245" s="5" t="s">
        <v>29</v>
      </c>
      <c r="S245" s="7" t="s">
        <v>15</v>
      </c>
    </row>
    <row r="246" spans="1:19" x14ac:dyDescent="0.25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1">
        <v>449141.00000000006</v>
      </c>
      <c r="N246" s="1">
        <f>financials[[#This Row],[Sales]]-financials[[#This Row],[Budget]]</f>
        <v>-40831.000000000058</v>
      </c>
      <c r="O246" s="10">
        <f>(financials[[#This Row],[Sales]]-financials[[#This Row],[Budget]])/financials[[#This Row],[Budget]]</f>
        <v>-9.0909090909091023E-2</v>
      </c>
      <c r="P246" s="6">
        <v>41548</v>
      </c>
      <c r="Q246" s="8">
        <v>10</v>
      </c>
      <c r="R246" s="5" t="s">
        <v>30</v>
      </c>
      <c r="S246" s="7" t="s">
        <v>14</v>
      </c>
    </row>
    <row r="247" spans="1:19" x14ac:dyDescent="0.25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1">
        <v>22960.17</v>
      </c>
      <c r="N247" s="1">
        <f>financials[[#This Row],[Sales]]-financials[[#This Row],[Budget]]</f>
        <v>3430.8300000000017</v>
      </c>
      <c r="O247" s="10">
        <f>(financials[[#This Row],[Sales]]-financials[[#This Row],[Budget]])/financials[[#This Row],[Budget]]</f>
        <v>0.14942528735632193</v>
      </c>
      <c r="P247" s="6">
        <v>41548</v>
      </c>
      <c r="Q247" s="8">
        <v>10</v>
      </c>
      <c r="R247" s="5" t="s">
        <v>30</v>
      </c>
      <c r="S247" s="7" t="s">
        <v>14</v>
      </c>
    </row>
    <row r="248" spans="1:19" x14ac:dyDescent="0.25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1">
        <v>100198.875</v>
      </c>
      <c r="N248" s="1">
        <f>financials[[#This Row],[Sales]]-financials[[#This Row],[Budget]]</f>
        <v>2044.875</v>
      </c>
      <c r="O248" s="10">
        <f>(financials[[#This Row],[Sales]]-financials[[#This Row],[Budget]])/financials[[#This Row],[Budget]]</f>
        <v>2.0408163265306121E-2</v>
      </c>
      <c r="P248" s="6">
        <v>41913</v>
      </c>
      <c r="Q248" s="8">
        <v>10</v>
      </c>
      <c r="R248" s="5" t="s">
        <v>30</v>
      </c>
      <c r="S248" s="7" t="s">
        <v>15</v>
      </c>
    </row>
    <row r="249" spans="1:19" x14ac:dyDescent="0.25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1">
        <v>86944</v>
      </c>
      <c r="N249" s="1">
        <f>financials[[#This Row],[Sales]]-financials[[#This Row],[Budget]]</f>
        <v>-3344</v>
      </c>
      <c r="O249" s="10">
        <f>(financials[[#This Row],[Sales]]-financials[[#This Row],[Budget]])/financials[[#This Row],[Budget]]</f>
        <v>-3.8461538461538464E-2</v>
      </c>
      <c r="P249" s="6">
        <v>41548</v>
      </c>
      <c r="Q249" s="8">
        <v>10</v>
      </c>
      <c r="R249" s="5" t="s">
        <v>30</v>
      </c>
      <c r="S249" s="7" t="s">
        <v>14</v>
      </c>
    </row>
    <row r="250" spans="1:19" x14ac:dyDescent="0.25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1">
        <v>29787.06</v>
      </c>
      <c r="N250" s="1">
        <f>financials[[#This Row],[Sales]]-financials[[#This Row],[Budget]]</f>
        <v>4450.9399999999987</v>
      </c>
      <c r="O250" s="10">
        <f>(financials[[#This Row],[Sales]]-financials[[#This Row],[Budget]])/financials[[#This Row],[Budget]]</f>
        <v>0.1494252873563218</v>
      </c>
      <c r="P250" s="6">
        <v>41609</v>
      </c>
      <c r="Q250" s="8">
        <v>12</v>
      </c>
      <c r="R250" s="5" t="s">
        <v>32</v>
      </c>
      <c r="S250" s="7" t="s">
        <v>14</v>
      </c>
    </row>
    <row r="251" spans="1:19" x14ac:dyDescent="0.25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1">
        <v>54138.79</v>
      </c>
      <c r="N251" s="1">
        <f>financials[[#This Row],[Sales]]-financials[[#This Row],[Budget]]</f>
        <v>-3541.7900000000009</v>
      </c>
      <c r="O251" s="10">
        <f>(financials[[#This Row],[Sales]]-financials[[#This Row],[Budget]])/financials[[#This Row],[Budget]]</f>
        <v>-6.5420560747663573E-2</v>
      </c>
      <c r="P251" s="6">
        <v>41974</v>
      </c>
      <c r="Q251" s="8">
        <v>12</v>
      </c>
      <c r="R251" s="5" t="s">
        <v>32</v>
      </c>
      <c r="S251" s="7" t="s">
        <v>15</v>
      </c>
    </row>
    <row r="252" spans="1:19" x14ac:dyDescent="0.25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1">
        <v>13778.268</v>
      </c>
      <c r="N252" s="1">
        <f>financials[[#This Row],[Sales]]-financials[[#This Row],[Budget]]</f>
        <v>426.13199999999961</v>
      </c>
      <c r="O252" s="10">
        <f>(financials[[#This Row],[Sales]]-financials[[#This Row],[Budget]])/financials[[#This Row],[Budget]]</f>
        <v>3.0927835051546362E-2</v>
      </c>
      <c r="P252" s="6">
        <v>41609</v>
      </c>
      <c r="Q252" s="8">
        <v>12</v>
      </c>
      <c r="R252" s="5" t="s">
        <v>32</v>
      </c>
      <c r="S252" s="7" t="s">
        <v>14</v>
      </c>
    </row>
    <row r="253" spans="1:19" x14ac:dyDescent="0.25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1">
        <v>28645.35</v>
      </c>
      <c r="N253" s="1">
        <f>financials[[#This Row],[Sales]]-financials[[#This Row],[Budget]]</f>
        <v>1507.6500000000015</v>
      </c>
      <c r="O253" s="10">
        <f>(financials[[#This Row],[Sales]]-financials[[#This Row],[Budget]])/financials[[#This Row],[Budget]]</f>
        <v>5.2631578947368474E-2</v>
      </c>
      <c r="P253" s="6">
        <v>41609</v>
      </c>
      <c r="Q253" s="8">
        <v>12</v>
      </c>
      <c r="R253" s="5" t="s">
        <v>32</v>
      </c>
      <c r="S253" s="7" t="s">
        <v>14</v>
      </c>
    </row>
    <row r="254" spans="1:19" x14ac:dyDescent="0.25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1">
        <v>6880.6125000000002</v>
      </c>
      <c r="N254" s="1">
        <f>financials[[#This Row],[Sales]]-financials[[#This Row],[Budget]]</f>
        <v>1028.1374999999998</v>
      </c>
      <c r="O254" s="10">
        <f>(financials[[#This Row],[Sales]]-financials[[#This Row],[Budget]])/financials[[#This Row],[Budget]]</f>
        <v>0.1494252873563218</v>
      </c>
      <c r="P254" s="6">
        <v>41640</v>
      </c>
      <c r="Q254" s="8">
        <v>1</v>
      </c>
      <c r="R254" s="5" t="s">
        <v>21</v>
      </c>
      <c r="S254" s="7" t="s">
        <v>15</v>
      </c>
    </row>
    <row r="255" spans="1:19" x14ac:dyDescent="0.25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1">
        <v>43215.404999999999</v>
      </c>
      <c r="N255" s="1">
        <f>financials[[#This Row],[Sales]]-financials[[#This Row],[Budget]]</f>
        <v>-2446.1549999999988</v>
      </c>
      <c r="O255" s="10">
        <f>(financials[[#This Row],[Sales]]-financials[[#This Row],[Budget]])/financials[[#This Row],[Budget]]</f>
        <v>-5.6603773584905634E-2</v>
      </c>
      <c r="P255" s="6">
        <v>41640</v>
      </c>
      <c r="Q255" s="8">
        <v>1</v>
      </c>
      <c r="R255" s="5" t="s">
        <v>21</v>
      </c>
      <c r="S255" s="7" t="s">
        <v>15</v>
      </c>
    </row>
    <row r="256" spans="1:19" x14ac:dyDescent="0.25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1">
        <v>103497.75</v>
      </c>
      <c r="N256" s="1">
        <f>financials[[#This Row],[Sales]]-financials[[#This Row],[Budget]]</f>
        <v>-7666.5</v>
      </c>
      <c r="O256" s="10">
        <f>(financials[[#This Row],[Sales]]-financials[[#This Row],[Budget]])/financials[[#This Row],[Budget]]</f>
        <v>-7.407407407407407E-2</v>
      </c>
      <c r="P256" s="6">
        <v>41671</v>
      </c>
      <c r="Q256" s="8">
        <v>2</v>
      </c>
      <c r="R256" s="5" t="s">
        <v>22</v>
      </c>
      <c r="S256" s="7" t="s">
        <v>15</v>
      </c>
    </row>
    <row r="257" spans="1:19" x14ac:dyDescent="0.25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1">
        <v>184151.80000000002</v>
      </c>
      <c r="N257" s="1">
        <f>financials[[#This Row],[Sales]]-financials[[#This Row],[Budget]]</f>
        <v>16013.199999999983</v>
      </c>
      <c r="O257" s="10">
        <f>(financials[[#This Row],[Sales]]-financials[[#This Row],[Budget]])/financials[[#This Row],[Budget]]</f>
        <v>8.6956521739130335E-2</v>
      </c>
      <c r="P257" s="6">
        <v>41791</v>
      </c>
      <c r="Q257" s="8">
        <v>6</v>
      </c>
      <c r="R257" s="5" t="s">
        <v>26</v>
      </c>
      <c r="S257" s="7" t="s">
        <v>15</v>
      </c>
    </row>
    <row r="258" spans="1:19" x14ac:dyDescent="0.25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1">
        <v>55960.32</v>
      </c>
      <c r="N258" s="1">
        <f>financials[[#This Row],[Sales]]-financials[[#This Row],[Budget]]</f>
        <v>-2152.3199999999997</v>
      </c>
      <c r="O258" s="10">
        <f>(financials[[#This Row],[Sales]]-financials[[#This Row],[Budget]])/financials[[#This Row],[Budget]]</f>
        <v>-3.8461538461538457E-2</v>
      </c>
      <c r="P258" s="6">
        <v>41852</v>
      </c>
      <c r="Q258" s="8">
        <v>8</v>
      </c>
      <c r="R258" s="5" t="s">
        <v>28</v>
      </c>
      <c r="S258" s="7" t="s">
        <v>15</v>
      </c>
    </row>
    <row r="259" spans="1:19" x14ac:dyDescent="0.25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1">
        <v>34201.14</v>
      </c>
      <c r="N259" s="1">
        <f>financials[[#This Row],[Sales]]-financials[[#This Row],[Budget]]</f>
        <v>-4200.1399999999994</v>
      </c>
      <c r="O259" s="10">
        <f>(financials[[#This Row],[Sales]]-financials[[#This Row],[Budget]])/financials[[#This Row],[Budget]]</f>
        <v>-0.12280701754385963</v>
      </c>
      <c r="P259" s="6">
        <v>41852</v>
      </c>
      <c r="Q259" s="8">
        <v>8</v>
      </c>
      <c r="R259" s="5" t="s">
        <v>28</v>
      </c>
      <c r="S259" s="7" t="s">
        <v>15</v>
      </c>
    </row>
    <row r="260" spans="1:19" x14ac:dyDescent="0.25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1">
        <v>97131.5625</v>
      </c>
      <c r="N260" s="1">
        <f>financials[[#This Row],[Sales]]-financials[[#This Row],[Budget]]</f>
        <v>5112.1875</v>
      </c>
      <c r="O260" s="10">
        <f>(financials[[#This Row],[Sales]]-financials[[#This Row],[Budget]])/financials[[#This Row],[Budget]]</f>
        <v>5.2631578947368418E-2</v>
      </c>
      <c r="P260" s="6">
        <v>41913</v>
      </c>
      <c r="Q260" s="8">
        <v>10</v>
      </c>
      <c r="R260" s="5" t="s">
        <v>30</v>
      </c>
      <c r="S260" s="7" t="s">
        <v>15</v>
      </c>
    </row>
    <row r="261" spans="1:19" x14ac:dyDescent="0.25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1">
        <v>82764</v>
      </c>
      <c r="N261" s="1">
        <f>financials[[#This Row],[Sales]]-financials[[#This Row],[Budget]]</f>
        <v>836</v>
      </c>
      <c r="O261" s="10">
        <f>(financials[[#This Row],[Sales]]-financials[[#This Row],[Budget]])/financials[[#This Row],[Budget]]</f>
        <v>1.0101010101010102E-2</v>
      </c>
      <c r="P261" s="6">
        <v>41548</v>
      </c>
      <c r="Q261" s="8">
        <v>10</v>
      </c>
      <c r="R261" s="5" t="s">
        <v>30</v>
      </c>
      <c r="S261" s="7" t="s">
        <v>14</v>
      </c>
    </row>
    <row r="262" spans="1:19" x14ac:dyDescent="0.25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1">
        <v>22178.51</v>
      </c>
      <c r="N262" s="1">
        <f>financials[[#This Row],[Sales]]-financials[[#This Row],[Budget]]</f>
        <v>-2551.5099999999984</v>
      </c>
      <c r="O262" s="10">
        <f>(financials[[#This Row],[Sales]]-financials[[#This Row],[Budget]])/financials[[#This Row],[Budget]]</f>
        <v>-0.11504424778761056</v>
      </c>
      <c r="P262" s="6">
        <v>41609</v>
      </c>
      <c r="Q262" s="8">
        <v>12</v>
      </c>
      <c r="R262" s="5" t="s">
        <v>32</v>
      </c>
      <c r="S262" s="7" t="s">
        <v>14</v>
      </c>
    </row>
    <row r="263" spans="1:19" x14ac:dyDescent="0.25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1">
        <v>395437.50000000006</v>
      </c>
      <c r="N263" s="1">
        <f>financials[[#This Row],[Sales]]-financials[[#This Row],[Budget]]</f>
        <v>-39187.500000000058</v>
      </c>
      <c r="O263" s="10">
        <f>(financials[[#This Row],[Sales]]-financials[[#This Row],[Budget]])/financials[[#This Row],[Budget]]</f>
        <v>-9.9099099099099225E-2</v>
      </c>
      <c r="P263" s="6">
        <v>41974</v>
      </c>
      <c r="Q263" s="8">
        <v>12</v>
      </c>
      <c r="R263" s="5" t="s">
        <v>32</v>
      </c>
      <c r="S263" s="7" t="s">
        <v>15</v>
      </c>
    </row>
    <row r="264" spans="1:19" x14ac:dyDescent="0.25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1">
        <v>29294.010000000002</v>
      </c>
      <c r="N264" s="1">
        <f>financials[[#This Row],[Sales]]-financials[[#This Row],[Budget]]</f>
        <v>-2903.010000000002</v>
      </c>
      <c r="O264" s="10">
        <f>(financials[[#This Row],[Sales]]-financials[[#This Row],[Budget]])/financials[[#This Row],[Budget]]</f>
        <v>-9.9099099099099155E-2</v>
      </c>
      <c r="P264" s="6">
        <v>41548</v>
      </c>
      <c r="Q264" s="8">
        <v>10</v>
      </c>
      <c r="R264" s="5" t="s">
        <v>30</v>
      </c>
      <c r="S264" s="7" t="s">
        <v>14</v>
      </c>
    </row>
    <row r="265" spans="1:19" x14ac:dyDescent="0.25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1">
        <v>24275.35</v>
      </c>
      <c r="N265" s="1">
        <f>financials[[#This Row],[Sales]]-financials[[#This Row],[Budget]]</f>
        <v>-240.34999999999854</v>
      </c>
      <c r="O265" s="10">
        <f>(financials[[#This Row],[Sales]]-financials[[#This Row],[Budget]])/financials[[#This Row],[Budget]]</f>
        <v>-9.9009900990098421E-3</v>
      </c>
      <c r="P265" s="6">
        <v>41579</v>
      </c>
      <c r="Q265" s="8">
        <v>11</v>
      </c>
      <c r="R265" s="5" t="s">
        <v>31</v>
      </c>
      <c r="S265" s="7" t="s">
        <v>14</v>
      </c>
    </row>
    <row r="266" spans="1:19" x14ac:dyDescent="0.25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1">
        <v>44079.43</v>
      </c>
      <c r="N266" s="1">
        <f>financials[[#This Row],[Sales]]-financials[[#This Row],[Budget]]</f>
        <v>-436.43000000000029</v>
      </c>
      <c r="O266" s="10">
        <f>(financials[[#This Row],[Sales]]-financials[[#This Row],[Budget]])/financials[[#This Row],[Budget]]</f>
        <v>-9.900990099009908E-3</v>
      </c>
      <c r="P266" s="6">
        <v>41579</v>
      </c>
      <c r="Q266" s="8">
        <v>11</v>
      </c>
      <c r="R266" s="5" t="s">
        <v>31</v>
      </c>
      <c r="S266" s="7" t="s">
        <v>14</v>
      </c>
    </row>
    <row r="267" spans="1:19" x14ac:dyDescent="0.25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1">
        <v>51102.97</v>
      </c>
      <c r="N267" s="1">
        <f>financials[[#This Row],[Sales]]-financials[[#This Row],[Budget]]</f>
        <v>-505.97000000000116</v>
      </c>
      <c r="O267" s="10">
        <f>(financials[[#This Row],[Sales]]-financials[[#This Row],[Budget]])/financials[[#This Row],[Budget]]</f>
        <v>-9.9009900990099237E-3</v>
      </c>
      <c r="P267" s="6">
        <v>41974</v>
      </c>
      <c r="Q267" s="8">
        <v>12</v>
      </c>
      <c r="R267" s="5" t="s">
        <v>32</v>
      </c>
      <c r="S267" s="7" t="s">
        <v>15</v>
      </c>
    </row>
    <row r="268" spans="1:19" x14ac:dyDescent="0.25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1">
        <v>4055.835</v>
      </c>
      <c r="N268" s="1">
        <f>financials[[#This Row],[Sales]]-financials[[#This Row],[Budget]]</f>
        <v>-265.33500000000004</v>
      </c>
      <c r="O268" s="10">
        <f>(financials[[#This Row],[Sales]]-financials[[#This Row],[Budget]])/financials[[#This Row],[Budget]]</f>
        <v>-6.5420560747663559E-2</v>
      </c>
      <c r="P268" s="6">
        <v>41974</v>
      </c>
      <c r="Q268" s="8">
        <v>12</v>
      </c>
      <c r="R268" s="5" t="s">
        <v>32</v>
      </c>
      <c r="S268" s="7" t="s">
        <v>15</v>
      </c>
    </row>
    <row r="269" spans="1:19" x14ac:dyDescent="0.25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1">
        <v>15546.236999999999</v>
      </c>
      <c r="N269" s="1">
        <f>financials[[#This Row],[Sales]]-financials[[#This Row],[Budget]]</f>
        <v>992.3130000000001</v>
      </c>
      <c r="O269" s="10">
        <f>(financials[[#This Row],[Sales]]-financials[[#This Row],[Budget]])/financials[[#This Row],[Budget]]</f>
        <v>6.3829787234042562E-2</v>
      </c>
      <c r="P269" s="6">
        <v>41974</v>
      </c>
      <c r="Q269" s="8">
        <v>12</v>
      </c>
      <c r="R269" s="5" t="s">
        <v>32</v>
      </c>
      <c r="S269" s="7" t="s">
        <v>15</v>
      </c>
    </row>
    <row r="270" spans="1:19" x14ac:dyDescent="0.25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1">
        <v>484785.00000000006</v>
      </c>
      <c r="N270" s="1">
        <f>financials[[#This Row],[Sales]]-financials[[#This Row],[Budget]]</f>
        <v>-35910.000000000058</v>
      </c>
      <c r="O270" s="10">
        <f>(financials[[#This Row],[Sales]]-financials[[#This Row],[Budget]])/financials[[#This Row],[Budget]]</f>
        <v>-7.4074074074074181E-2</v>
      </c>
      <c r="P270" s="6">
        <v>41671</v>
      </c>
      <c r="Q270" s="8">
        <v>2</v>
      </c>
      <c r="R270" s="5" t="s">
        <v>22</v>
      </c>
      <c r="S270" s="7" t="s">
        <v>15</v>
      </c>
    </row>
    <row r="271" spans="1:19" x14ac:dyDescent="0.25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1">
        <v>165186</v>
      </c>
      <c r="N271" s="1">
        <f>financials[[#This Row],[Sales]]-financials[[#This Row],[Budget]]</f>
        <v>18354</v>
      </c>
      <c r="O271" s="10">
        <f>(financials[[#This Row],[Sales]]-financials[[#This Row],[Budget]])/financials[[#This Row],[Budget]]</f>
        <v>0.1111111111111111</v>
      </c>
      <c r="P271" s="6">
        <v>41852</v>
      </c>
      <c r="Q271" s="8">
        <v>8</v>
      </c>
      <c r="R271" s="5" t="s">
        <v>28</v>
      </c>
      <c r="S271" s="7" t="s">
        <v>15</v>
      </c>
    </row>
    <row r="272" spans="1:19" x14ac:dyDescent="0.25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1">
        <v>375645.2</v>
      </c>
      <c r="N272" s="1">
        <f>financials[[#This Row],[Sales]]-financials[[#This Row],[Budget]]</f>
        <v>32664.799999999988</v>
      </c>
      <c r="O272" s="10">
        <f>(financials[[#This Row],[Sales]]-financials[[#This Row],[Budget]])/financials[[#This Row],[Budget]]</f>
        <v>8.6956521739130405E-2</v>
      </c>
      <c r="P272" s="6">
        <v>41548</v>
      </c>
      <c r="Q272" s="8">
        <v>10</v>
      </c>
      <c r="R272" s="5" t="s">
        <v>30</v>
      </c>
      <c r="S272" s="7" t="s">
        <v>14</v>
      </c>
    </row>
    <row r="273" spans="1:19" x14ac:dyDescent="0.25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1">
        <v>359812.5</v>
      </c>
      <c r="N273" s="1">
        <f>financials[[#This Row],[Sales]]-financials[[#This Row],[Budget]]</f>
        <v>-3562.5</v>
      </c>
      <c r="O273" s="10">
        <f>(financials[[#This Row],[Sales]]-financials[[#This Row],[Budget]])/financials[[#This Row],[Budget]]</f>
        <v>-9.9009900990099011E-3</v>
      </c>
      <c r="P273" s="6">
        <v>41974</v>
      </c>
      <c r="Q273" s="8">
        <v>12</v>
      </c>
      <c r="R273" s="5" t="s">
        <v>32</v>
      </c>
      <c r="S273" s="7" t="s">
        <v>15</v>
      </c>
    </row>
    <row r="274" spans="1:19" x14ac:dyDescent="0.25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1">
        <v>54130.041000000005</v>
      </c>
      <c r="N274" s="1">
        <f>financials[[#This Row],[Sales]]-financials[[#This Row],[Budget]]</f>
        <v>-535.94099999999889</v>
      </c>
      <c r="O274" s="10">
        <f>(financials[[#This Row],[Sales]]-financials[[#This Row],[Budget]])/financials[[#This Row],[Budget]]</f>
        <v>-9.9009900990098803E-3</v>
      </c>
      <c r="P274" s="6">
        <v>41730</v>
      </c>
      <c r="Q274" s="8">
        <v>4</v>
      </c>
      <c r="R274" s="5" t="s">
        <v>24</v>
      </c>
      <c r="S274" s="7" t="s">
        <v>15</v>
      </c>
    </row>
    <row r="275" spans="1:19" x14ac:dyDescent="0.25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1">
        <v>23530.080000000002</v>
      </c>
      <c r="N275" s="1">
        <f>financials[[#This Row],[Sales]]-financials[[#This Row],[Budget]]</f>
        <v>-2521.0800000000017</v>
      </c>
      <c r="O275" s="10">
        <f>(financials[[#This Row],[Sales]]-financials[[#This Row],[Budget]])/financials[[#This Row],[Budget]]</f>
        <v>-0.10714285714285721</v>
      </c>
      <c r="P275" s="6">
        <v>41640</v>
      </c>
      <c r="Q275" s="8">
        <v>1</v>
      </c>
      <c r="R275" s="5" t="s">
        <v>21</v>
      </c>
      <c r="S275" s="7" t="s">
        <v>15</v>
      </c>
    </row>
    <row r="276" spans="1:19" x14ac:dyDescent="0.25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1">
        <v>42105.420000000006</v>
      </c>
      <c r="N276" s="1">
        <f>financials[[#This Row],[Sales]]-financials[[#This Row],[Budget]]</f>
        <v>-2005.0200000000041</v>
      </c>
      <c r="O276" s="10">
        <f>(financials[[#This Row],[Sales]]-financials[[#This Row],[Budget]])/financials[[#This Row],[Budget]]</f>
        <v>-4.7619047619047707E-2</v>
      </c>
      <c r="P276" s="6">
        <v>41791</v>
      </c>
      <c r="Q276" s="8">
        <v>6</v>
      </c>
      <c r="R276" s="5" t="s">
        <v>26</v>
      </c>
      <c r="S276" s="7" t="s">
        <v>15</v>
      </c>
    </row>
    <row r="277" spans="1:19" x14ac:dyDescent="0.25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1">
        <v>5832.2111999999997</v>
      </c>
      <c r="N277" s="1">
        <f>financials[[#This Row],[Sales]]-financials[[#This Row],[Budget]]</f>
        <v>507.14879999999994</v>
      </c>
      <c r="O277" s="10">
        <f>(financials[[#This Row],[Sales]]-financials[[#This Row],[Budget]])/financials[[#This Row],[Budget]]</f>
        <v>8.6956521739130432E-2</v>
      </c>
      <c r="P277" s="6">
        <v>41883</v>
      </c>
      <c r="Q277" s="8">
        <v>9</v>
      </c>
      <c r="R277" s="5" t="s">
        <v>29</v>
      </c>
      <c r="S277" s="7" t="s">
        <v>15</v>
      </c>
    </row>
    <row r="278" spans="1:19" x14ac:dyDescent="0.25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1">
        <v>27748.010400000003</v>
      </c>
      <c r="N278" s="1">
        <f>financials[[#This Row],[Sales]]-financials[[#This Row],[Budget]]</f>
        <v>-1815.2904000000017</v>
      </c>
      <c r="O278" s="10">
        <f>(financials[[#This Row],[Sales]]-financials[[#This Row],[Budget]])/financials[[#This Row],[Budget]]</f>
        <v>-6.54205607476636E-2</v>
      </c>
      <c r="P278" s="6">
        <v>41548</v>
      </c>
      <c r="Q278" s="8">
        <v>10</v>
      </c>
      <c r="R278" s="5" t="s">
        <v>30</v>
      </c>
      <c r="S278" s="7" t="s">
        <v>14</v>
      </c>
    </row>
    <row r="279" spans="1:19" x14ac:dyDescent="0.25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1">
        <v>26905.62</v>
      </c>
      <c r="N279" s="1">
        <f>financials[[#This Row],[Sales]]-financials[[#This Row],[Budget]]</f>
        <v>1717.380000000001</v>
      </c>
      <c r="O279" s="10">
        <f>(financials[[#This Row],[Sales]]-financials[[#This Row],[Budget]])/financials[[#This Row],[Budget]]</f>
        <v>6.382978723404259E-2</v>
      </c>
      <c r="P279" s="6">
        <v>41944</v>
      </c>
      <c r="Q279" s="8">
        <v>11</v>
      </c>
      <c r="R279" s="5" t="s">
        <v>31</v>
      </c>
      <c r="S279" s="7" t="s">
        <v>15</v>
      </c>
    </row>
    <row r="280" spans="1:19" x14ac:dyDescent="0.25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1">
        <v>1470.9589999999998</v>
      </c>
      <c r="N280" s="1">
        <f>financials[[#This Row],[Sales]]-financials[[#This Row],[Budget]]</f>
        <v>259.58100000000013</v>
      </c>
      <c r="O280" s="10">
        <f>(financials[[#This Row],[Sales]]-financials[[#This Row],[Budget]])/financials[[#This Row],[Budget]]</f>
        <v>0.17647058823529424</v>
      </c>
      <c r="P280" s="6">
        <v>41579</v>
      </c>
      <c r="Q280" s="8">
        <v>11</v>
      </c>
      <c r="R280" s="5" t="s">
        <v>31</v>
      </c>
      <c r="S280" s="7" t="s">
        <v>14</v>
      </c>
    </row>
    <row r="281" spans="1:19" x14ac:dyDescent="0.25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1">
        <v>115686.97500000001</v>
      </c>
      <c r="N281" s="1">
        <f>financials[[#This Row],[Sales]]-financials[[#This Row],[Budget]]</f>
        <v>-11464.475000000006</v>
      </c>
      <c r="O281" s="10">
        <f>(financials[[#This Row],[Sales]]-financials[[#This Row],[Budget]])/financials[[#This Row],[Budget]]</f>
        <v>-9.9099099099099142E-2</v>
      </c>
      <c r="P281" s="6">
        <v>41609</v>
      </c>
      <c r="Q281" s="8">
        <v>12</v>
      </c>
      <c r="R281" s="5" t="s">
        <v>32</v>
      </c>
      <c r="S281" s="7" t="s">
        <v>14</v>
      </c>
    </row>
    <row r="282" spans="1:19" x14ac:dyDescent="0.25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1">
        <v>332092.60000000003</v>
      </c>
      <c r="N282" s="1">
        <f>financials[[#This Row],[Sales]]-financials[[#This Row],[Budget]]</f>
        <v>-9672.6000000000349</v>
      </c>
      <c r="O282" s="10">
        <f>(financials[[#This Row],[Sales]]-financials[[#This Row],[Budget]])/financials[[#This Row],[Budget]]</f>
        <v>-2.9126213592233111E-2</v>
      </c>
      <c r="P282" s="6">
        <v>41730</v>
      </c>
      <c r="Q282" s="8">
        <v>4</v>
      </c>
      <c r="R282" s="5" t="s">
        <v>24</v>
      </c>
      <c r="S282" s="7" t="s">
        <v>15</v>
      </c>
    </row>
    <row r="283" spans="1:19" x14ac:dyDescent="0.25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1">
        <v>451519.6</v>
      </c>
      <c r="N283" s="1">
        <f>financials[[#This Row],[Sales]]-financials[[#This Row],[Budget]]</f>
        <v>28820.400000000023</v>
      </c>
      <c r="O283" s="10">
        <f>(financials[[#This Row],[Sales]]-financials[[#This Row],[Budget]])/financials[[#This Row],[Budget]]</f>
        <v>6.3829787234042604E-2</v>
      </c>
      <c r="P283" s="6">
        <v>41760</v>
      </c>
      <c r="Q283" s="8">
        <v>5</v>
      </c>
      <c r="R283" s="5" t="s">
        <v>25</v>
      </c>
      <c r="S283" s="7" t="s">
        <v>15</v>
      </c>
    </row>
    <row r="284" spans="1:19" x14ac:dyDescent="0.25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1">
        <v>8677.8355999999985</v>
      </c>
      <c r="N284" s="1">
        <f>financials[[#This Row],[Sales]]-financials[[#This Row],[Budget]]</f>
        <v>553.90440000000126</v>
      </c>
      <c r="O284" s="10">
        <f>(financials[[#This Row],[Sales]]-financials[[#This Row],[Budget]])/financials[[#This Row],[Budget]]</f>
        <v>6.3829787234042715E-2</v>
      </c>
      <c r="P284" s="6">
        <v>41548</v>
      </c>
      <c r="Q284" s="8">
        <v>10</v>
      </c>
      <c r="R284" s="5" t="s">
        <v>30</v>
      </c>
      <c r="S284" s="7" t="s">
        <v>14</v>
      </c>
    </row>
    <row r="285" spans="1:19" x14ac:dyDescent="0.25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1">
        <v>34708.447199999995</v>
      </c>
      <c r="N285" s="1">
        <f>financials[[#This Row],[Sales]]-financials[[#This Row],[Budget]]</f>
        <v>-3993.0071999999964</v>
      </c>
      <c r="O285" s="10">
        <f>(financials[[#This Row],[Sales]]-financials[[#This Row],[Budget]])/financials[[#This Row],[Budget]]</f>
        <v>-0.11504424778761053</v>
      </c>
      <c r="P285" s="6">
        <v>41944</v>
      </c>
      <c r="Q285" s="8">
        <v>11</v>
      </c>
      <c r="R285" s="5" t="s">
        <v>31</v>
      </c>
      <c r="S285" s="7" t="s">
        <v>15</v>
      </c>
    </row>
    <row r="286" spans="1:19" x14ac:dyDescent="0.25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1">
        <v>452809.28</v>
      </c>
      <c r="N286" s="1">
        <f>financials[[#This Row],[Sales]]-financials[[#This Row],[Budget]]</f>
        <v>39374.719999999972</v>
      </c>
      <c r="O286" s="10">
        <f>(financials[[#This Row],[Sales]]-financials[[#This Row],[Budget]])/financials[[#This Row],[Budget]]</f>
        <v>8.6956521739130363E-2</v>
      </c>
      <c r="P286" s="6">
        <v>41791</v>
      </c>
      <c r="Q286" s="8">
        <v>6</v>
      </c>
      <c r="R286" s="5" t="s">
        <v>26</v>
      </c>
      <c r="S286" s="7" t="s">
        <v>15</v>
      </c>
    </row>
    <row r="287" spans="1:19" x14ac:dyDescent="0.25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1">
        <v>29303.973599999998</v>
      </c>
      <c r="N287" s="1">
        <f>financials[[#This Row],[Sales]]-financials[[#This Row],[Budget]]</f>
        <v>-3371.2535999999964</v>
      </c>
      <c r="O287" s="10">
        <f>(financials[[#This Row],[Sales]]-financials[[#This Row],[Budget]])/financials[[#This Row],[Budget]]</f>
        <v>-0.11504424778761051</v>
      </c>
      <c r="P287" s="6">
        <v>41548</v>
      </c>
      <c r="Q287" s="8">
        <v>10</v>
      </c>
      <c r="R287" s="5" t="s">
        <v>30</v>
      </c>
      <c r="S287" s="7" t="s">
        <v>14</v>
      </c>
    </row>
    <row r="288" spans="1:19" x14ac:dyDescent="0.25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1">
        <v>243966.66</v>
      </c>
      <c r="N288" s="1">
        <f>financials[[#This Row],[Sales]]-financials[[#This Row],[Budget]]</f>
        <v>-4783.6600000000035</v>
      </c>
      <c r="O288" s="10">
        <f>(financials[[#This Row],[Sales]]-financials[[#This Row],[Budget]])/financials[[#This Row],[Budget]]</f>
        <v>-1.9607843137254916E-2</v>
      </c>
      <c r="P288" s="6">
        <v>41548</v>
      </c>
      <c r="Q288" s="8">
        <v>10</v>
      </c>
      <c r="R288" s="5" t="s">
        <v>30</v>
      </c>
      <c r="S288" s="7" t="s">
        <v>14</v>
      </c>
    </row>
    <row r="289" spans="1:19" x14ac:dyDescent="0.25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1">
        <v>123046.00000000001</v>
      </c>
      <c r="N289" s="1">
        <f>financials[[#This Row],[Sales]]-financials[[#This Row],[Budget]]</f>
        <v>-11186.000000000015</v>
      </c>
      <c r="O289" s="10">
        <f>(financials[[#This Row],[Sales]]-financials[[#This Row],[Budget]])/financials[[#This Row],[Budget]]</f>
        <v>-9.0909090909091023E-2</v>
      </c>
      <c r="P289" s="6">
        <v>41671</v>
      </c>
      <c r="Q289" s="8">
        <v>2</v>
      </c>
      <c r="R289" s="5" t="s">
        <v>22</v>
      </c>
      <c r="S289" s="7" t="s">
        <v>15</v>
      </c>
    </row>
    <row r="290" spans="1:19" x14ac:dyDescent="0.25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1">
        <v>339898.125</v>
      </c>
      <c r="N290" s="1">
        <f>financials[[#This Row],[Sales]]-financials[[#This Row],[Budget]]</f>
        <v>-16185.625</v>
      </c>
      <c r="O290" s="10">
        <f>(financials[[#This Row],[Sales]]-financials[[#This Row],[Budget]])/financials[[#This Row],[Budget]]</f>
        <v>-4.7619047619047616E-2</v>
      </c>
      <c r="P290" s="6">
        <v>41671</v>
      </c>
      <c r="Q290" s="8">
        <v>2</v>
      </c>
      <c r="R290" s="5" t="s">
        <v>22</v>
      </c>
      <c r="S290" s="7" t="s">
        <v>15</v>
      </c>
    </row>
    <row r="291" spans="1:19" x14ac:dyDescent="0.25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1">
        <v>19415.7</v>
      </c>
      <c r="N291" s="1">
        <f>financials[[#This Row],[Sales]]-financials[[#This Row],[Budget]]</f>
        <v>2157.2999999999993</v>
      </c>
      <c r="O291" s="10">
        <f>(financials[[#This Row],[Sales]]-financials[[#This Row],[Budget]])/financials[[#This Row],[Budget]]</f>
        <v>0.11111111111111106</v>
      </c>
      <c r="P291" s="6">
        <v>41760</v>
      </c>
      <c r="Q291" s="8">
        <v>5</v>
      </c>
      <c r="R291" s="5" t="s">
        <v>25</v>
      </c>
      <c r="S291" s="7" t="s">
        <v>15</v>
      </c>
    </row>
    <row r="292" spans="1:19" x14ac:dyDescent="0.25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1">
        <v>511871.36000000004</v>
      </c>
      <c r="N292" s="1">
        <f>financials[[#This Row],[Sales]]-financials[[#This Row],[Budget]]</f>
        <v>-19687.360000000044</v>
      </c>
      <c r="O292" s="10">
        <f>(financials[[#This Row],[Sales]]-financials[[#This Row],[Budget]])/financials[[#This Row],[Budget]]</f>
        <v>-3.8461538461538547E-2</v>
      </c>
      <c r="P292" s="6">
        <v>41791</v>
      </c>
      <c r="Q292" s="8">
        <v>6</v>
      </c>
      <c r="R292" s="5" t="s">
        <v>26</v>
      </c>
      <c r="S292" s="7" t="s">
        <v>15</v>
      </c>
    </row>
    <row r="293" spans="1:19" x14ac:dyDescent="0.25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1">
        <v>9265.4295999999995</v>
      </c>
      <c r="N293" s="1">
        <f>financials[[#This Row],[Sales]]-financials[[#This Row],[Budget]]</f>
        <v>591.41040000000066</v>
      </c>
      <c r="O293" s="10">
        <f>(financials[[#This Row],[Sales]]-financials[[#This Row],[Budget]])/financials[[#This Row],[Budget]]</f>
        <v>6.3829787234042631E-2</v>
      </c>
      <c r="P293" s="6">
        <v>41791</v>
      </c>
      <c r="Q293" s="8">
        <v>6</v>
      </c>
      <c r="R293" s="5" t="s">
        <v>26</v>
      </c>
      <c r="S293" s="7" t="s">
        <v>15</v>
      </c>
    </row>
    <row r="294" spans="1:19" x14ac:dyDescent="0.25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1">
        <v>392527.07999999996</v>
      </c>
      <c r="N294" s="1">
        <f>financials[[#This Row],[Sales]]-financials[[#This Row],[Budget]]</f>
        <v>-48205.079999999958</v>
      </c>
      <c r="O294" s="10">
        <f>(financials[[#This Row],[Sales]]-financials[[#This Row],[Budget]])/financials[[#This Row],[Budget]]</f>
        <v>-0.12280701754385956</v>
      </c>
      <c r="P294" s="6">
        <v>41548</v>
      </c>
      <c r="Q294" s="8">
        <v>10</v>
      </c>
      <c r="R294" s="5" t="s">
        <v>30</v>
      </c>
      <c r="S294" s="7" t="s">
        <v>14</v>
      </c>
    </row>
    <row r="295" spans="1:19" x14ac:dyDescent="0.25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1">
        <v>607873.56000000006</v>
      </c>
      <c r="N295" s="1">
        <f>financials[[#This Row],[Sales]]-financials[[#This Row],[Budget]]</f>
        <v>75130.439999999944</v>
      </c>
      <c r="O295" s="10">
        <f>(financials[[#This Row],[Sales]]-financials[[#This Row],[Budget]])/financials[[#This Row],[Budget]]</f>
        <v>0.12359550561797743</v>
      </c>
      <c r="P295" s="6">
        <v>41548</v>
      </c>
      <c r="Q295" s="8">
        <v>10</v>
      </c>
      <c r="R295" s="5" t="s">
        <v>30</v>
      </c>
      <c r="S295" s="7" t="s">
        <v>14</v>
      </c>
    </row>
    <row r="296" spans="1:19" x14ac:dyDescent="0.25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1">
        <v>39298.392</v>
      </c>
      <c r="N296" s="1">
        <f>financials[[#This Row],[Sales]]-financials[[#This Row],[Budget]]</f>
        <v>802.00800000000163</v>
      </c>
      <c r="O296" s="10">
        <f>(financials[[#This Row],[Sales]]-financials[[#This Row],[Budget]])/financials[[#This Row],[Budget]]</f>
        <v>2.0408163265306162E-2</v>
      </c>
      <c r="P296" s="6">
        <v>41791</v>
      </c>
      <c r="Q296" s="8">
        <v>6</v>
      </c>
      <c r="R296" s="5" t="s">
        <v>26</v>
      </c>
      <c r="S296" s="7" t="s">
        <v>15</v>
      </c>
    </row>
    <row r="297" spans="1:19" x14ac:dyDescent="0.25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1">
        <v>10152.5452</v>
      </c>
      <c r="N297" s="1">
        <f>financials[[#This Row],[Sales]]-financials[[#This Row],[Budget]]</f>
        <v>-295.70520000000033</v>
      </c>
      <c r="O297" s="10">
        <f>(financials[[#This Row],[Sales]]-financials[[#This Row],[Budget]])/financials[[#This Row],[Budget]]</f>
        <v>-2.9126213592233042E-2</v>
      </c>
      <c r="P297" s="6">
        <v>41791</v>
      </c>
      <c r="Q297" s="8">
        <v>6</v>
      </c>
      <c r="R297" s="5" t="s">
        <v>26</v>
      </c>
      <c r="S297" s="7" t="s">
        <v>15</v>
      </c>
    </row>
    <row r="298" spans="1:19" x14ac:dyDescent="0.25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1">
        <v>292673.7</v>
      </c>
      <c r="N298" s="1">
        <f>financials[[#This Row],[Sales]]-financials[[#This Row],[Budget]]</f>
        <v>51648.299999999988</v>
      </c>
      <c r="O298" s="10">
        <f>(financials[[#This Row],[Sales]]-financials[[#This Row],[Budget]])/financials[[#This Row],[Budget]]</f>
        <v>0.17647058823529407</v>
      </c>
      <c r="P298" s="6">
        <v>41548</v>
      </c>
      <c r="Q298" s="8">
        <v>10</v>
      </c>
      <c r="R298" s="5" t="s">
        <v>30</v>
      </c>
      <c r="S298" s="7" t="s">
        <v>14</v>
      </c>
    </row>
    <row r="299" spans="1:19" x14ac:dyDescent="0.25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1">
        <v>21956.896000000001</v>
      </c>
      <c r="N299" s="1">
        <f>financials[[#This Row],[Sales]]-financials[[#This Row],[Budget]]</f>
        <v>-844.49599999999919</v>
      </c>
      <c r="O299" s="10">
        <f>(financials[[#This Row],[Sales]]-financials[[#This Row],[Budget]])/financials[[#This Row],[Budget]]</f>
        <v>-3.8461538461538422E-2</v>
      </c>
      <c r="P299" s="6">
        <v>41579</v>
      </c>
      <c r="Q299" s="8">
        <v>11</v>
      </c>
      <c r="R299" s="5" t="s">
        <v>31</v>
      </c>
      <c r="S299" s="7" t="s">
        <v>14</v>
      </c>
    </row>
    <row r="300" spans="1:19" x14ac:dyDescent="0.25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1">
        <v>680082.48</v>
      </c>
      <c r="N300" s="1">
        <f>financials[[#This Row],[Sales]]-financials[[#This Row],[Budget]]</f>
        <v>6869.5200000000186</v>
      </c>
      <c r="O300" s="10">
        <f>(financials[[#This Row],[Sales]]-financials[[#This Row],[Budget]])/financials[[#This Row],[Budget]]</f>
        <v>1.0101010101010128E-2</v>
      </c>
      <c r="P300" s="6">
        <v>41609</v>
      </c>
      <c r="Q300" s="8">
        <v>12</v>
      </c>
      <c r="R300" s="5" t="s">
        <v>32</v>
      </c>
      <c r="S300" s="7" t="s">
        <v>14</v>
      </c>
    </row>
    <row r="301" spans="1:19" x14ac:dyDescent="0.25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1">
        <v>200836.875</v>
      </c>
      <c r="N301" s="1">
        <f>financials[[#This Row],[Sales]]-financials[[#This Row],[Budget]]</f>
        <v>32694.375</v>
      </c>
      <c r="O301" s="10">
        <f>(financials[[#This Row],[Sales]]-financials[[#This Row],[Budget]])/financials[[#This Row],[Budget]]</f>
        <v>0.16279069767441862</v>
      </c>
      <c r="P301" s="6">
        <v>41640</v>
      </c>
      <c r="Q301" s="8">
        <v>1</v>
      </c>
      <c r="R301" s="5" t="s">
        <v>21</v>
      </c>
      <c r="S301" s="7" t="s">
        <v>15</v>
      </c>
    </row>
    <row r="302" spans="1:19" x14ac:dyDescent="0.25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1">
        <v>552391</v>
      </c>
      <c r="N302" s="1">
        <f>financials[[#This Row],[Sales]]-financials[[#This Row],[Budget]]</f>
        <v>0</v>
      </c>
      <c r="O302" s="10">
        <f>(financials[[#This Row],[Sales]]-financials[[#This Row],[Budget]])/financials[[#This Row],[Budget]]</f>
        <v>0</v>
      </c>
      <c r="P302" s="6">
        <v>41883</v>
      </c>
      <c r="Q302" s="8">
        <v>9</v>
      </c>
      <c r="R302" s="5" t="s">
        <v>29</v>
      </c>
      <c r="S302" s="7" t="s">
        <v>15</v>
      </c>
    </row>
    <row r="303" spans="1:19" x14ac:dyDescent="0.25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1">
        <v>210481.04</v>
      </c>
      <c r="N303" s="1">
        <f>financials[[#This Row],[Sales]]-financials[[#This Row],[Budget]]</f>
        <v>28701.959999999992</v>
      </c>
      <c r="O303" s="10">
        <f>(financials[[#This Row],[Sales]]-financials[[#This Row],[Budget]])/financials[[#This Row],[Budget]]</f>
        <v>0.13636363636363633</v>
      </c>
      <c r="P303" s="6">
        <v>41548</v>
      </c>
      <c r="Q303" s="8">
        <v>10</v>
      </c>
      <c r="R303" s="5" t="s">
        <v>30</v>
      </c>
      <c r="S303" s="7" t="s">
        <v>14</v>
      </c>
    </row>
    <row r="304" spans="1:19" x14ac:dyDescent="0.25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1">
        <v>8400.8834000000006</v>
      </c>
      <c r="N304" s="1">
        <f>financials[[#This Row],[Sales]]-financials[[#This Row],[Budget]]</f>
        <v>830.85659999999916</v>
      </c>
      <c r="O304" s="10">
        <f>(financials[[#This Row],[Sales]]-financials[[#This Row],[Budget]])/financials[[#This Row],[Budget]]</f>
        <v>9.89010989010988E-2</v>
      </c>
      <c r="P304" s="6">
        <v>41548</v>
      </c>
      <c r="Q304" s="8">
        <v>10</v>
      </c>
      <c r="R304" s="5" t="s">
        <v>30</v>
      </c>
      <c r="S304" s="7" t="s">
        <v>14</v>
      </c>
    </row>
    <row r="305" spans="1:19" x14ac:dyDescent="0.25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1">
        <v>662513.88</v>
      </c>
      <c r="N305" s="1">
        <f>financials[[#This Row],[Sales]]-financials[[#This Row],[Budget]]</f>
        <v>20490.119999999995</v>
      </c>
      <c r="O305" s="10">
        <f>(financials[[#This Row],[Sales]]-financials[[#This Row],[Budget]])/financials[[#This Row],[Budget]]</f>
        <v>3.0927835051546386E-2</v>
      </c>
      <c r="P305" s="6">
        <v>41548</v>
      </c>
      <c r="Q305" s="8">
        <v>10</v>
      </c>
      <c r="R305" s="5" t="s">
        <v>30</v>
      </c>
      <c r="S305" s="7" t="s">
        <v>14</v>
      </c>
    </row>
    <row r="306" spans="1:19" x14ac:dyDescent="0.25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1">
        <v>28076.859999999997</v>
      </c>
      <c r="N306" s="1">
        <f>financials[[#This Row],[Sales]]-financials[[#This Row],[Budget]]</f>
        <v>4954.7400000000016</v>
      </c>
      <c r="O306" s="10">
        <f>(financials[[#This Row],[Sales]]-financials[[#This Row],[Budget]])/financials[[#This Row],[Budget]]</f>
        <v>0.17647058823529418</v>
      </c>
      <c r="P306" s="6">
        <v>41548</v>
      </c>
      <c r="Q306" s="8">
        <v>10</v>
      </c>
      <c r="R306" s="5" t="s">
        <v>30</v>
      </c>
      <c r="S306" s="7" t="s">
        <v>14</v>
      </c>
    </row>
    <row r="307" spans="1:19" x14ac:dyDescent="0.25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1">
        <v>27272.784</v>
      </c>
      <c r="N307" s="1">
        <f>financials[[#This Row],[Sales]]-financials[[#This Row],[Budget]]</f>
        <v>3719.0159999999996</v>
      </c>
      <c r="O307" s="10">
        <f>(financials[[#This Row],[Sales]]-financials[[#This Row],[Budget]])/financials[[#This Row],[Budget]]</f>
        <v>0.13636363636363635</v>
      </c>
      <c r="P307" s="6">
        <v>41852</v>
      </c>
      <c r="Q307" s="8">
        <v>8</v>
      </c>
      <c r="R307" s="5" t="s">
        <v>28</v>
      </c>
      <c r="S307" s="7" t="s">
        <v>15</v>
      </c>
    </row>
    <row r="308" spans="1:19" x14ac:dyDescent="0.25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1">
        <v>26542.404000000002</v>
      </c>
      <c r="N308" s="1">
        <f>financials[[#This Row],[Sales]]-financials[[#This Row],[Budget]]</f>
        <v>-1966.104000000003</v>
      </c>
      <c r="O308" s="10">
        <f>(financials[[#This Row],[Sales]]-financials[[#This Row],[Budget]])/financials[[#This Row],[Budget]]</f>
        <v>-7.4074074074074181E-2</v>
      </c>
      <c r="P308" s="6">
        <v>41852</v>
      </c>
      <c r="Q308" s="8">
        <v>8</v>
      </c>
      <c r="R308" s="5" t="s">
        <v>28</v>
      </c>
      <c r="S308" s="7" t="s">
        <v>15</v>
      </c>
    </row>
    <row r="309" spans="1:19" x14ac:dyDescent="0.25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1">
        <v>18370.748999999996</v>
      </c>
      <c r="N309" s="1">
        <f>financials[[#This Row],[Sales]]-financials[[#This Row],[Budget]]</f>
        <v>-2113.4489999999969</v>
      </c>
      <c r="O309" s="10">
        <f>(financials[[#This Row],[Sales]]-financials[[#This Row],[Budget]])/financials[[#This Row],[Budget]]</f>
        <v>-0.11504424778761048</v>
      </c>
      <c r="P309" s="6">
        <v>41913</v>
      </c>
      <c r="Q309" s="8">
        <v>10</v>
      </c>
      <c r="R309" s="5" t="s">
        <v>30</v>
      </c>
      <c r="S309" s="7" t="s">
        <v>15</v>
      </c>
    </row>
    <row r="310" spans="1:19" x14ac:dyDescent="0.25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1">
        <v>30719.387999999999</v>
      </c>
      <c r="N310" s="1">
        <f>financials[[#This Row],[Sales]]-financials[[#This Row],[Budget]]</f>
        <v>2312.2119999999995</v>
      </c>
      <c r="O310" s="10">
        <f>(financials[[#This Row],[Sales]]-financials[[#This Row],[Budget]])/financials[[#This Row],[Budget]]</f>
        <v>7.5268817204301064E-2</v>
      </c>
      <c r="P310" s="6">
        <v>41548</v>
      </c>
      <c r="Q310" s="8">
        <v>10</v>
      </c>
      <c r="R310" s="5" t="s">
        <v>30</v>
      </c>
      <c r="S310" s="7" t="s">
        <v>14</v>
      </c>
    </row>
    <row r="311" spans="1:19" x14ac:dyDescent="0.25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1">
        <v>16936.919999999998</v>
      </c>
      <c r="N311" s="1">
        <f>financials[[#This Row],[Sales]]-financials[[#This Row],[Budget]]</f>
        <v>1881.880000000001</v>
      </c>
      <c r="O311" s="10">
        <f>(financials[[#This Row],[Sales]]-financials[[#This Row],[Budget]])/financials[[#This Row],[Budget]]</f>
        <v>0.11111111111111119</v>
      </c>
      <c r="P311" s="6">
        <v>41852</v>
      </c>
      <c r="Q311" s="8">
        <v>8</v>
      </c>
      <c r="R311" s="5" t="s">
        <v>28</v>
      </c>
      <c r="S311" s="7" t="s">
        <v>15</v>
      </c>
    </row>
    <row r="312" spans="1:19" x14ac:dyDescent="0.25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1">
        <v>9560.5426000000007</v>
      </c>
      <c r="N312" s="1">
        <f>financials[[#This Row],[Sales]]-financials[[#This Row],[Budget]]</f>
        <v>-789.40260000000126</v>
      </c>
      <c r="O312" s="10">
        <f>(financials[[#This Row],[Sales]]-financials[[#This Row],[Budget]])/financials[[#This Row],[Budget]]</f>
        <v>-8.2568807339449671E-2</v>
      </c>
      <c r="P312" s="6">
        <v>41944</v>
      </c>
      <c r="Q312" s="8">
        <v>11</v>
      </c>
      <c r="R312" s="5" t="s">
        <v>31</v>
      </c>
      <c r="S312" s="7" t="s">
        <v>15</v>
      </c>
    </row>
    <row r="313" spans="1:19" x14ac:dyDescent="0.25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1">
        <v>14143.850999999999</v>
      </c>
      <c r="N313" s="1">
        <f>financials[[#This Row],[Sales]]-financials[[#This Row],[Budget]]</f>
        <v>2113.4490000000005</v>
      </c>
      <c r="O313" s="10">
        <f>(financials[[#This Row],[Sales]]-financials[[#This Row],[Budget]])/financials[[#This Row],[Budget]]</f>
        <v>0.14942528735632188</v>
      </c>
      <c r="P313" s="6">
        <v>41913</v>
      </c>
      <c r="Q313" s="8">
        <v>10</v>
      </c>
      <c r="R313" s="5" t="s">
        <v>30</v>
      </c>
      <c r="S313" s="7" t="s">
        <v>15</v>
      </c>
    </row>
    <row r="314" spans="1:19" x14ac:dyDescent="0.25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1">
        <v>7707.6539999999995</v>
      </c>
      <c r="N314" s="1">
        <f>financials[[#This Row],[Sales]]-financials[[#This Row],[Budget]]</f>
        <v>405.66600000000017</v>
      </c>
      <c r="O314" s="10">
        <f>(financials[[#This Row],[Sales]]-financials[[#This Row],[Budget]])/financials[[#This Row],[Budget]]</f>
        <v>5.2631578947368446E-2</v>
      </c>
      <c r="P314" s="6">
        <v>41671</v>
      </c>
      <c r="Q314" s="8">
        <v>2</v>
      </c>
      <c r="R314" s="5" t="s">
        <v>22</v>
      </c>
      <c r="S314" s="7" t="s">
        <v>15</v>
      </c>
    </row>
    <row r="315" spans="1:19" x14ac:dyDescent="0.25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1">
        <v>18502.387199999997</v>
      </c>
      <c r="N315" s="1">
        <f>financials[[#This Row],[Sales]]-financials[[#This Row],[Budget]]</f>
        <v>2523.0528000000013</v>
      </c>
      <c r="O315" s="10">
        <f>(financials[[#This Row],[Sales]]-financials[[#This Row],[Budget]])/financials[[#This Row],[Budget]]</f>
        <v>0.13636363636363646</v>
      </c>
      <c r="P315" s="6">
        <v>41852</v>
      </c>
      <c r="Q315" s="8">
        <v>8</v>
      </c>
      <c r="R315" s="5" t="s">
        <v>28</v>
      </c>
      <c r="S315" s="7" t="s">
        <v>15</v>
      </c>
    </row>
    <row r="316" spans="1:19" x14ac:dyDescent="0.25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1">
        <v>38547.011999999995</v>
      </c>
      <c r="N316" s="1">
        <f>financials[[#This Row],[Sales]]-financials[[#This Row],[Budget]]</f>
        <v>-4434.6119999999937</v>
      </c>
      <c r="O316" s="10">
        <f>(financials[[#This Row],[Sales]]-financials[[#This Row],[Budget]])/financials[[#This Row],[Budget]]</f>
        <v>-0.11504424778761047</v>
      </c>
      <c r="P316" s="6">
        <v>41518</v>
      </c>
      <c r="Q316" s="8">
        <v>9</v>
      </c>
      <c r="R316" s="5" t="s">
        <v>29</v>
      </c>
      <c r="S316" s="7" t="s">
        <v>14</v>
      </c>
    </row>
    <row r="317" spans="1:19" x14ac:dyDescent="0.25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1">
        <v>22980.672000000002</v>
      </c>
      <c r="N317" s="1">
        <f>financials[[#This Row],[Sales]]-financials[[#This Row],[Budget]]</f>
        <v>3133.7279999999992</v>
      </c>
      <c r="O317" s="10">
        <f>(financials[[#This Row],[Sales]]-financials[[#This Row],[Budget]])/financials[[#This Row],[Budget]]</f>
        <v>0.13636363636363633</v>
      </c>
      <c r="P317" s="6">
        <v>41640</v>
      </c>
      <c r="Q317" s="8">
        <v>1</v>
      </c>
      <c r="R317" s="5" t="s">
        <v>21</v>
      </c>
      <c r="S317" s="7" t="s">
        <v>15</v>
      </c>
    </row>
    <row r="318" spans="1:19" x14ac:dyDescent="0.25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1">
        <v>29534.493599999998</v>
      </c>
      <c r="N318" s="1">
        <f>financials[[#This Row],[Sales]]-financials[[#This Row],[Budget]]</f>
        <v>-3397.7735999999968</v>
      </c>
      <c r="O318" s="10">
        <f>(financials[[#This Row],[Sales]]-financials[[#This Row],[Budget]])/financials[[#This Row],[Budget]]</f>
        <v>-0.11504424778761052</v>
      </c>
      <c r="P318" s="6">
        <v>41944</v>
      </c>
      <c r="Q318" s="8">
        <v>11</v>
      </c>
      <c r="R318" s="5" t="s">
        <v>31</v>
      </c>
      <c r="S318" s="7" t="s">
        <v>15</v>
      </c>
    </row>
    <row r="319" spans="1:19" x14ac:dyDescent="0.25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1">
        <v>6778.9281000000001</v>
      </c>
      <c r="N319" s="1">
        <f>financials[[#This Row],[Sales]]-financials[[#This Row],[Budget]]</f>
        <v>-67.118099999999686</v>
      </c>
      <c r="O319" s="10">
        <f>(financials[[#This Row],[Sales]]-financials[[#This Row],[Budget]])/financials[[#This Row],[Budget]]</f>
        <v>-9.9009900990098543E-3</v>
      </c>
      <c r="P319" s="6">
        <v>41518</v>
      </c>
      <c r="Q319" s="8">
        <v>9</v>
      </c>
      <c r="R319" s="5" t="s">
        <v>29</v>
      </c>
      <c r="S319" s="7" t="s">
        <v>14</v>
      </c>
    </row>
    <row r="320" spans="1:19" x14ac:dyDescent="0.25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1">
        <v>15316.263000000001</v>
      </c>
      <c r="N320" s="1">
        <f>financials[[#This Row],[Sales]]-financials[[#This Row],[Budget]]</f>
        <v>2288.6370000000006</v>
      </c>
      <c r="O320" s="10">
        <f>(financials[[#This Row],[Sales]]-financials[[#This Row],[Budget]])/financials[[#This Row],[Budget]]</f>
        <v>0.14942528735632188</v>
      </c>
      <c r="P320" s="6">
        <v>41760</v>
      </c>
      <c r="Q320" s="8">
        <v>5</v>
      </c>
      <c r="R320" s="5" t="s">
        <v>25</v>
      </c>
      <c r="S320" s="7" t="s">
        <v>15</v>
      </c>
    </row>
    <row r="321" spans="1:19" x14ac:dyDescent="0.25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1">
        <v>6723.8535000000002</v>
      </c>
      <c r="N321" s="1">
        <f>financials[[#This Row],[Sales]]-financials[[#This Row],[Budget]]</f>
        <v>664.9965000000002</v>
      </c>
      <c r="O321" s="10">
        <f>(financials[[#This Row],[Sales]]-financials[[#This Row],[Budget]])/financials[[#This Row],[Budget]]</f>
        <v>9.8901098901098924E-2</v>
      </c>
      <c r="P321" s="6">
        <v>41791</v>
      </c>
      <c r="Q321" s="8">
        <v>6</v>
      </c>
      <c r="R321" s="5" t="s">
        <v>26</v>
      </c>
      <c r="S321" s="7" t="s">
        <v>15</v>
      </c>
    </row>
    <row r="322" spans="1:19" x14ac:dyDescent="0.25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1">
        <v>4095.1154999999999</v>
      </c>
      <c r="N322" s="1">
        <f>financials[[#This Row],[Sales]]-financials[[#This Row],[Budget]]</f>
        <v>-534.14549999999963</v>
      </c>
      <c r="O322" s="10">
        <f>(financials[[#This Row],[Sales]]-financials[[#This Row],[Budget]])/financials[[#This Row],[Budget]]</f>
        <v>-0.13043478260869557</v>
      </c>
      <c r="P322" s="6">
        <v>41944</v>
      </c>
      <c r="Q322" s="8">
        <v>11</v>
      </c>
      <c r="R322" s="5" t="s">
        <v>31</v>
      </c>
      <c r="S322" s="7" t="s">
        <v>15</v>
      </c>
    </row>
    <row r="323" spans="1:19" x14ac:dyDescent="0.25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1">
        <v>10916.7492</v>
      </c>
      <c r="N323" s="1">
        <f>financials[[#This Row],[Sales]]-financials[[#This Row],[Budget]]</f>
        <v>-617.92920000000049</v>
      </c>
      <c r="O323" s="10">
        <f>(financials[[#This Row],[Sales]]-financials[[#This Row],[Budget]])/financials[[#This Row],[Budget]]</f>
        <v>-5.6603773584905703E-2</v>
      </c>
      <c r="P323" s="6">
        <v>41974</v>
      </c>
      <c r="Q323" s="8">
        <v>12</v>
      </c>
      <c r="R323" s="5" t="s">
        <v>32</v>
      </c>
      <c r="S323" s="7" t="s">
        <v>15</v>
      </c>
    </row>
    <row r="324" spans="1:19" x14ac:dyDescent="0.25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1">
        <v>16879.444199999998</v>
      </c>
      <c r="N324" s="1">
        <f>financials[[#This Row],[Sales]]-financials[[#This Row],[Budget]]</f>
        <v>2522.2158000000018</v>
      </c>
      <c r="O324" s="10">
        <f>(financials[[#This Row],[Sales]]-financials[[#This Row],[Budget]])/financials[[#This Row],[Budget]]</f>
        <v>0.14942528735632196</v>
      </c>
      <c r="P324" s="6">
        <v>41730</v>
      </c>
      <c r="Q324" s="8">
        <v>4</v>
      </c>
      <c r="R324" s="5" t="s">
        <v>24</v>
      </c>
      <c r="S324" s="7" t="s">
        <v>15</v>
      </c>
    </row>
    <row r="325" spans="1:19" x14ac:dyDescent="0.25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1">
        <v>25213.788</v>
      </c>
      <c r="N325" s="1">
        <f>financials[[#This Row],[Sales]]-financials[[#This Row],[Budget]]</f>
        <v>-494.38799999999901</v>
      </c>
      <c r="O325" s="10">
        <f>(financials[[#This Row],[Sales]]-financials[[#This Row],[Budget]])/financials[[#This Row],[Budget]]</f>
        <v>-1.9607843137254864E-2</v>
      </c>
      <c r="P325" s="6">
        <v>41518</v>
      </c>
      <c r="Q325" s="8">
        <v>9</v>
      </c>
      <c r="R325" s="5" t="s">
        <v>29</v>
      </c>
      <c r="S325" s="7" t="s">
        <v>14</v>
      </c>
    </row>
    <row r="326" spans="1:19" x14ac:dyDescent="0.25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1">
        <v>10195.8318</v>
      </c>
      <c r="N326" s="1">
        <f>financials[[#This Row],[Sales]]-financials[[#This Row],[Budget]]</f>
        <v>102.98819999999978</v>
      </c>
      <c r="O326" s="10">
        <f>(financials[[#This Row],[Sales]]-financials[[#This Row],[Budget]])/financials[[#This Row],[Budget]]</f>
        <v>1.0101010101010079E-2</v>
      </c>
      <c r="P326" s="6">
        <v>41974</v>
      </c>
      <c r="Q326" s="8">
        <v>12</v>
      </c>
      <c r="R326" s="5" t="s">
        <v>32</v>
      </c>
      <c r="S326" s="7" t="s">
        <v>15</v>
      </c>
    </row>
    <row r="327" spans="1:19" x14ac:dyDescent="0.25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1">
        <v>7019.4075000000003</v>
      </c>
      <c r="N327" s="1">
        <f>financials[[#This Row],[Sales]]-financials[[#This Row],[Budget]]</f>
        <v>369.44250000000011</v>
      </c>
      <c r="O327" s="10">
        <f>(financials[[#This Row],[Sales]]-financials[[#This Row],[Budget]])/financials[[#This Row],[Budget]]</f>
        <v>5.2631578947368432E-2</v>
      </c>
      <c r="P327" s="6">
        <v>41791</v>
      </c>
      <c r="Q327" s="8">
        <v>6</v>
      </c>
      <c r="R327" s="5" t="s">
        <v>26</v>
      </c>
      <c r="S327" s="7" t="s">
        <v>15</v>
      </c>
    </row>
    <row r="328" spans="1:19" x14ac:dyDescent="0.25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1">
        <v>619061.94000000006</v>
      </c>
      <c r="N328" s="1">
        <f>financials[[#This Row],[Sales]]-financials[[#This Row],[Budget]]</f>
        <v>-45856.440000000061</v>
      </c>
      <c r="O328" s="10">
        <f>(financials[[#This Row],[Sales]]-financials[[#This Row],[Budget]])/financials[[#This Row],[Budget]]</f>
        <v>-7.4074074074074167E-2</v>
      </c>
      <c r="P328" s="6">
        <v>41699</v>
      </c>
      <c r="Q328" s="8">
        <v>3</v>
      </c>
      <c r="R328" s="5" t="s">
        <v>23</v>
      </c>
      <c r="S328" s="7" t="s">
        <v>15</v>
      </c>
    </row>
    <row r="329" spans="1:19" x14ac:dyDescent="0.25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1">
        <v>141240.95999999999</v>
      </c>
      <c r="N329" s="1">
        <f>financials[[#This Row],[Sales]]-financials[[#This Row],[Budget]]</f>
        <v>-16248.959999999992</v>
      </c>
      <c r="O329" s="10">
        <f>(financials[[#This Row],[Sales]]-financials[[#This Row],[Budget]])/financials[[#This Row],[Budget]]</f>
        <v>-0.11504424778761056</v>
      </c>
      <c r="P329" s="6">
        <v>41791</v>
      </c>
      <c r="Q329" s="8">
        <v>6</v>
      </c>
      <c r="R329" s="5" t="s">
        <v>26</v>
      </c>
      <c r="S329" s="7" t="s">
        <v>15</v>
      </c>
    </row>
    <row r="330" spans="1:19" x14ac:dyDescent="0.25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1">
        <v>578074.04999999993</v>
      </c>
      <c r="N330" s="1">
        <f>financials[[#This Row],[Sales]]-financials[[#This Row],[Budget]]</f>
        <v>30424.95000000007</v>
      </c>
      <c r="O330" s="10">
        <f>(financials[[#This Row],[Sales]]-financials[[#This Row],[Budget]])/financials[[#This Row],[Budget]]</f>
        <v>5.263157894736855E-2</v>
      </c>
      <c r="P330" s="6">
        <v>41913</v>
      </c>
      <c r="Q330" s="8">
        <v>10</v>
      </c>
      <c r="R330" s="5" t="s">
        <v>30</v>
      </c>
      <c r="S330" s="7" t="s">
        <v>15</v>
      </c>
    </row>
    <row r="331" spans="1:19" x14ac:dyDescent="0.25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1">
        <v>31608.095999999998</v>
      </c>
      <c r="N331" s="1">
        <f>financials[[#This Row],[Sales]]-financials[[#This Row],[Budget]]</f>
        <v>5145.5040000000008</v>
      </c>
      <c r="O331" s="10">
        <f>(financials[[#This Row],[Sales]]-financials[[#This Row],[Budget]])/financials[[#This Row],[Budget]]</f>
        <v>0.16279069767441864</v>
      </c>
      <c r="P331" s="6">
        <v>41913</v>
      </c>
      <c r="Q331" s="8">
        <v>10</v>
      </c>
      <c r="R331" s="5" t="s">
        <v>30</v>
      </c>
      <c r="S331" s="7" t="s">
        <v>15</v>
      </c>
    </row>
    <row r="332" spans="1:19" x14ac:dyDescent="0.25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1">
        <v>578074.04999999993</v>
      </c>
      <c r="N332" s="1">
        <f>financials[[#This Row],[Sales]]-financials[[#This Row],[Budget]]</f>
        <v>30424.95000000007</v>
      </c>
      <c r="O332" s="10">
        <f>(financials[[#This Row],[Sales]]-financials[[#This Row],[Budget]])/financials[[#This Row],[Budget]]</f>
        <v>5.263157894736855E-2</v>
      </c>
      <c r="P332" s="6">
        <v>41913</v>
      </c>
      <c r="Q332" s="8">
        <v>10</v>
      </c>
      <c r="R332" s="5" t="s">
        <v>30</v>
      </c>
      <c r="S332" s="7" t="s">
        <v>15</v>
      </c>
    </row>
    <row r="333" spans="1:19" x14ac:dyDescent="0.25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1">
        <v>264468.75</v>
      </c>
      <c r="N333" s="1">
        <f>financials[[#This Row],[Sales]]-financials[[#This Row],[Budget]]</f>
        <v>26156.25</v>
      </c>
      <c r="O333" s="10">
        <f>(financials[[#This Row],[Sales]]-financials[[#This Row],[Budget]])/financials[[#This Row],[Budget]]</f>
        <v>9.8901098901098897E-2</v>
      </c>
      <c r="P333" s="6">
        <v>41579</v>
      </c>
      <c r="Q333" s="8">
        <v>11</v>
      </c>
      <c r="R333" s="5" t="s">
        <v>31</v>
      </c>
      <c r="S333" s="7" t="s">
        <v>14</v>
      </c>
    </row>
    <row r="334" spans="1:19" x14ac:dyDescent="0.25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1">
        <v>422623.62</v>
      </c>
      <c r="N334" s="1">
        <f>financials[[#This Row],[Sales]]-financials[[#This Row],[Budget]]</f>
        <v>52234.380000000005</v>
      </c>
      <c r="O334" s="10">
        <f>(financials[[#This Row],[Sales]]-financials[[#This Row],[Budget]])/financials[[#This Row],[Budget]]</f>
        <v>0.12359550561797754</v>
      </c>
      <c r="P334" s="6">
        <v>41760</v>
      </c>
      <c r="Q334" s="8">
        <v>5</v>
      </c>
      <c r="R334" s="5" t="s">
        <v>25</v>
      </c>
      <c r="S334" s="7" t="s">
        <v>15</v>
      </c>
    </row>
    <row r="335" spans="1:19" x14ac:dyDescent="0.25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1">
        <v>131241.60000000001</v>
      </c>
      <c r="N335" s="1">
        <f>financials[[#This Row],[Sales]]-financials[[#This Row],[Budget]]</f>
        <v>-6249.6000000000058</v>
      </c>
      <c r="O335" s="10">
        <f>(financials[[#This Row],[Sales]]-financials[[#This Row],[Budget]])/financials[[#This Row],[Budget]]</f>
        <v>-4.7619047619047658E-2</v>
      </c>
      <c r="P335" s="6">
        <v>41791</v>
      </c>
      <c r="Q335" s="8">
        <v>6</v>
      </c>
      <c r="R335" s="5" t="s">
        <v>26</v>
      </c>
      <c r="S335" s="7" t="s">
        <v>15</v>
      </c>
    </row>
    <row r="336" spans="1:19" x14ac:dyDescent="0.25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1">
        <v>465560.32499999995</v>
      </c>
      <c r="N336" s="1">
        <f>financials[[#This Row],[Sales]]-financials[[#This Row],[Budget]]</f>
        <v>-57174.074999999953</v>
      </c>
      <c r="O336" s="10">
        <f>(financials[[#This Row],[Sales]]-financials[[#This Row],[Budget]])/financials[[#This Row],[Budget]]</f>
        <v>-0.12280701754385956</v>
      </c>
      <c r="P336" s="6">
        <v>41821</v>
      </c>
      <c r="Q336" s="8">
        <v>7</v>
      </c>
      <c r="R336" s="5" t="s">
        <v>27</v>
      </c>
      <c r="S336" s="7" t="s">
        <v>15</v>
      </c>
    </row>
    <row r="337" spans="1:19" x14ac:dyDescent="0.25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1">
        <v>31946.755500000003</v>
      </c>
      <c r="N337" s="1">
        <f>financials[[#This Row],[Sales]]-financials[[#This Row],[Budget]]</f>
        <v>-2637.8055000000022</v>
      </c>
      <c r="O337" s="10">
        <f>(financials[[#This Row],[Sales]]-financials[[#This Row],[Budget]])/financials[[#This Row],[Budget]]</f>
        <v>-8.2568807339449601E-2</v>
      </c>
      <c r="P337" s="6">
        <v>41852</v>
      </c>
      <c r="Q337" s="8">
        <v>8</v>
      </c>
      <c r="R337" s="5" t="s">
        <v>28</v>
      </c>
      <c r="S337" s="7" t="s">
        <v>15</v>
      </c>
    </row>
    <row r="338" spans="1:19" x14ac:dyDescent="0.25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1">
        <v>37207.5795</v>
      </c>
      <c r="N338" s="1">
        <f>financials[[#This Row],[Sales]]-financials[[#This Row],[Budget]]</f>
        <v>3679.8704999999973</v>
      </c>
      <c r="O338" s="10">
        <f>(financials[[#This Row],[Sales]]-financials[[#This Row],[Budget]])/financials[[#This Row],[Budget]]</f>
        <v>9.8901098901098827E-2</v>
      </c>
      <c r="P338" s="6">
        <v>41518</v>
      </c>
      <c r="Q338" s="8">
        <v>9</v>
      </c>
      <c r="R338" s="5" t="s">
        <v>29</v>
      </c>
      <c r="S338" s="7" t="s">
        <v>14</v>
      </c>
    </row>
    <row r="339" spans="1:19" x14ac:dyDescent="0.25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1">
        <v>31406.100000000002</v>
      </c>
      <c r="N339" s="1">
        <f>financials[[#This Row],[Sales]]-financials[[#This Row],[Budget]]</f>
        <v>-2855.1000000000022</v>
      </c>
      <c r="O339" s="10">
        <f>(financials[[#This Row],[Sales]]-financials[[#This Row],[Budget]])/financials[[#This Row],[Budget]]</f>
        <v>-9.0909090909090967E-2</v>
      </c>
      <c r="P339" s="6">
        <v>41883</v>
      </c>
      <c r="Q339" s="8">
        <v>9</v>
      </c>
      <c r="R339" s="5" t="s">
        <v>29</v>
      </c>
      <c r="S339" s="7" t="s">
        <v>15</v>
      </c>
    </row>
    <row r="340" spans="1:19" x14ac:dyDescent="0.25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1">
        <v>354048.20999999996</v>
      </c>
      <c r="N340" s="1">
        <f>financials[[#This Row],[Sales]]-financials[[#This Row],[Budget]]</f>
        <v>-40731.209999999963</v>
      </c>
      <c r="O340" s="10">
        <f>(financials[[#This Row],[Sales]]-financials[[#This Row],[Budget]])/financials[[#This Row],[Budget]]</f>
        <v>-0.11504424778761052</v>
      </c>
      <c r="P340" s="6">
        <v>41518</v>
      </c>
      <c r="Q340" s="8">
        <v>9</v>
      </c>
      <c r="R340" s="5" t="s">
        <v>29</v>
      </c>
      <c r="S340" s="7" t="s">
        <v>14</v>
      </c>
    </row>
    <row r="341" spans="1:19" x14ac:dyDescent="0.25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1">
        <v>399550.32</v>
      </c>
      <c r="N341" s="1">
        <f>financials[[#This Row],[Sales]]-financials[[#This Row],[Budget]]</f>
        <v>-7834.320000000007</v>
      </c>
      <c r="O341" s="10">
        <f>(financials[[#This Row],[Sales]]-financials[[#This Row],[Budget]])/financials[[#This Row],[Budget]]</f>
        <v>-1.9607843137254919E-2</v>
      </c>
      <c r="P341" s="6">
        <v>41579</v>
      </c>
      <c r="Q341" s="8">
        <v>11</v>
      </c>
      <c r="R341" s="5" t="s">
        <v>31</v>
      </c>
      <c r="S341" s="7" t="s">
        <v>14</v>
      </c>
    </row>
    <row r="342" spans="1:19" x14ac:dyDescent="0.25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1">
        <v>35460.341999999997</v>
      </c>
      <c r="N342" s="1">
        <f>financials[[#This Row],[Sales]]-financials[[#This Row],[Budget]]</f>
        <v>-4625.2619999999952</v>
      </c>
      <c r="O342" s="10">
        <f>(financials[[#This Row],[Sales]]-financials[[#This Row],[Budget]])/financials[[#This Row],[Budget]]</f>
        <v>-0.13043478260869554</v>
      </c>
      <c r="P342" s="6">
        <v>41579</v>
      </c>
      <c r="Q342" s="8">
        <v>11</v>
      </c>
      <c r="R342" s="5" t="s">
        <v>31</v>
      </c>
      <c r="S342" s="7" t="s">
        <v>14</v>
      </c>
    </row>
    <row r="343" spans="1:19" x14ac:dyDescent="0.25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1">
        <v>13418.737499999999</v>
      </c>
      <c r="N343" s="1">
        <f>financials[[#This Row],[Sales]]-financials[[#This Row],[Budget]]</f>
        <v>415.01250000000073</v>
      </c>
      <c r="O343" s="10">
        <f>(financials[[#This Row],[Sales]]-financials[[#This Row],[Budget]])/financials[[#This Row],[Budget]]</f>
        <v>3.0927835051546448E-2</v>
      </c>
      <c r="P343" s="6">
        <v>41609</v>
      </c>
      <c r="Q343" s="8">
        <v>12</v>
      </c>
      <c r="R343" s="5" t="s">
        <v>32</v>
      </c>
      <c r="S343" s="7" t="s">
        <v>14</v>
      </c>
    </row>
    <row r="344" spans="1:19" x14ac:dyDescent="0.25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1">
        <v>523032.92999999993</v>
      </c>
      <c r="N344" s="1">
        <f>financials[[#This Row],[Sales]]-financials[[#This Row],[Budget]]</f>
        <v>-60171.929999999935</v>
      </c>
      <c r="O344" s="10">
        <f>(financials[[#This Row],[Sales]]-financials[[#This Row],[Budget]])/financials[[#This Row],[Budget]]</f>
        <v>-0.11504424778761051</v>
      </c>
      <c r="P344" s="6">
        <v>41821</v>
      </c>
      <c r="Q344" s="8">
        <v>7</v>
      </c>
      <c r="R344" s="5" t="s">
        <v>27</v>
      </c>
      <c r="S344" s="7" t="s">
        <v>15</v>
      </c>
    </row>
    <row r="345" spans="1:19" x14ac:dyDescent="0.25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1">
        <v>13026.509999999998</v>
      </c>
      <c r="N345" s="1">
        <f>financials[[#This Row],[Sales]]-financials[[#This Row],[Budget]]</f>
        <v>-1699.1099999999988</v>
      </c>
      <c r="O345" s="10">
        <f>(financials[[#This Row],[Sales]]-financials[[#This Row],[Budget]])/financials[[#This Row],[Budget]]</f>
        <v>-0.13043478260869557</v>
      </c>
      <c r="P345" s="6">
        <v>41852</v>
      </c>
      <c r="Q345" s="8">
        <v>8</v>
      </c>
      <c r="R345" s="5" t="s">
        <v>28</v>
      </c>
      <c r="S345" s="7" t="s">
        <v>15</v>
      </c>
    </row>
    <row r="346" spans="1:19" x14ac:dyDescent="0.25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1">
        <v>252318.30000000002</v>
      </c>
      <c r="N346" s="1">
        <f>financials[[#This Row],[Sales]]-financials[[#This Row],[Budget]]</f>
        <v>-9704.5500000000175</v>
      </c>
      <c r="O346" s="10">
        <f>(financials[[#This Row],[Sales]]-financials[[#This Row],[Budget]])/financials[[#This Row],[Budget]]</f>
        <v>-3.8461538461538526E-2</v>
      </c>
      <c r="P346" s="6">
        <v>41883</v>
      </c>
      <c r="Q346" s="8">
        <v>9</v>
      </c>
      <c r="R346" s="5" t="s">
        <v>29</v>
      </c>
      <c r="S346" s="7" t="s">
        <v>15</v>
      </c>
    </row>
    <row r="347" spans="1:19" x14ac:dyDescent="0.25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1">
        <v>42266.639999999992</v>
      </c>
      <c r="N347" s="1">
        <f>financials[[#This Row],[Sales]]-financials[[#This Row],[Budget]]</f>
        <v>-5513.0399999999936</v>
      </c>
      <c r="O347" s="10">
        <f>(financials[[#This Row],[Sales]]-financials[[#This Row],[Budget]])/financials[[#This Row],[Budget]]</f>
        <v>-0.13043478260869554</v>
      </c>
      <c r="P347" s="6">
        <v>41913</v>
      </c>
      <c r="Q347" s="8">
        <v>10</v>
      </c>
      <c r="R347" s="5" t="s">
        <v>30</v>
      </c>
      <c r="S347" s="7" t="s">
        <v>15</v>
      </c>
    </row>
    <row r="348" spans="1:19" x14ac:dyDescent="0.25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1">
        <v>29866.577999999994</v>
      </c>
      <c r="N348" s="1">
        <f>financials[[#This Row],[Sales]]-financials[[#This Row],[Budget]]</f>
        <v>-3435.9779999999955</v>
      </c>
      <c r="O348" s="10">
        <f>(financials[[#This Row],[Sales]]-financials[[#This Row],[Budget]])/financials[[#This Row],[Budget]]</f>
        <v>-0.11504424778761049</v>
      </c>
      <c r="P348" s="6">
        <v>41609</v>
      </c>
      <c r="Q348" s="8">
        <v>12</v>
      </c>
      <c r="R348" s="5" t="s">
        <v>32</v>
      </c>
      <c r="S348" s="7" t="s">
        <v>14</v>
      </c>
    </row>
    <row r="349" spans="1:19" x14ac:dyDescent="0.25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1">
        <v>325369.8</v>
      </c>
      <c r="N349" s="1">
        <f>financials[[#This Row],[Sales]]-financials[[#This Row],[Budget]]</f>
        <v>57418.200000000012</v>
      </c>
      <c r="O349" s="10">
        <f>(financials[[#This Row],[Sales]]-financials[[#This Row],[Budget]])/financials[[#This Row],[Budget]]</f>
        <v>0.17647058823529416</v>
      </c>
      <c r="P349" s="6">
        <v>41974</v>
      </c>
      <c r="Q349" s="8">
        <v>12</v>
      </c>
      <c r="R349" s="5" t="s">
        <v>32</v>
      </c>
      <c r="S349" s="7" t="s">
        <v>15</v>
      </c>
    </row>
    <row r="350" spans="1:19" x14ac:dyDescent="0.25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1">
        <v>10718.063999999998</v>
      </c>
      <c r="N350" s="1">
        <f>financials[[#This Row],[Sales]]-financials[[#This Row],[Budget]]</f>
        <v>218.73600000000079</v>
      </c>
      <c r="O350" s="10">
        <f>(financials[[#This Row],[Sales]]-financials[[#This Row],[Budget]])/financials[[#This Row],[Budget]]</f>
        <v>2.0408163265306197E-2</v>
      </c>
      <c r="P350" s="6">
        <v>41609</v>
      </c>
      <c r="Q350" s="8">
        <v>12</v>
      </c>
      <c r="R350" s="5" t="s">
        <v>32</v>
      </c>
      <c r="S350" s="7" t="s">
        <v>14</v>
      </c>
    </row>
    <row r="351" spans="1:19" x14ac:dyDescent="0.25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1">
        <v>40915.740599999997</v>
      </c>
      <c r="N351" s="1">
        <f>financials[[#This Row],[Sales]]-financials[[#This Row],[Budget]]</f>
        <v>-4707.1205999999947</v>
      </c>
      <c r="O351" s="10">
        <f>(financials[[#This Row],[Sales]]-financials[[#This Row],[Budget]])/financials[[#This Row],[Budget]]</f>
        <v>-0.11504424778761049</v>
      </c>
      <c r="P351" s="6">
        <v>41640</v>
      </c>
      <c r="Q351" s="8">
        <v>1</v>
      </c>
      <c r="R351" s="5" t="s">
        <v>21</v>
      </c>
      <c r="S351" s="7" t="s">
        <v>15</v>
      </c>
    </row>
    <row r="352" spans="1:19" x14ac:dyDescent="0.25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1">
        <v>232778.07</v>
      </c>
      <c r="N352" s="1">
        <f>financials[[#This Row],[Sales]]-financials[[#This Row],[Budget]]</f>
        <v>34782.929999999993</v>
      </c>
      <c r="O352" s="10">
        <f>(financials[[#This Row],[Sales]]-financials[[#This Row],[Budget]])/financials[[#This Row],[Budget]]</f>
        <v>0.1494252873563218</v>
      </c>
      <c r="P352" s="6">
        <v>41671</v>
      </c>
      <c r="Q352" s="8">
        <v>2</v>
      </c>
      <c r="R352" s="5" t="s">
        <v>22</v>
      </c>
      <c r="S352" s="7" t="s">
        <v>15</v>
      </c>
    </row>
    <row r="353" spans="1:19" x14ac:dyDescent="0.25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1">
        <v>666779.30999999994</v>
      </c>
      <c r="N353" s="1">
        <f>financials[[#This Row],[Sales]]-financials[[#This Row],[Budget]]</f>
        <v>99633.690000000061</v>
      </c>
      <c r="O353" s="10">
        <f>(financials[[#This Row],[Sales]]-financials[[#This Row],[Budget]])/financials[[#This Row],[Budget]]</f>
        <v>0.14942528735632193</v>
      </c>
      <c r="P353" s="6">
        <v>41671</v>
      </c>
      <c r="Q353" s="8">
        <v>2</v>
      </c>
      <c r="R353" s="5" t="s">
        <v>22</v>
      </c>
      <c r="S353" s="7" t="s">
        <v>15</v>
      </c>
    </row>
    <row r="354" spans="1:19" x14ac:dyDescent="0.25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1">
        <v>181669.6875</v>
      </c>
      <c r="N354" s="1">
        <f>financials[[#This Row],[Sales]]-financials[[#This Row],[Budget]]</f>
        <v>9561.5625</v>
      </c>
      <c r="O354" s="10">
        <f>(financials[[#This Row],[Sales]]-financials[[#This Row],[Budget]])/financials[[#This Row],[Budget]]</f>
        <v>5.2631578947368418E-2</v>
      </c>
      <c r="P354" s="6">
        <v>41760</v>
      </c>
      <c r="Q354" s="8">
        <v>5</v>
      </c>
      <c r="R354" s="5" t="s">
        <v>25</v>
      </c>
      <c r="S354" s="7" t="s">
        <v>15</v>
      </c>
    </row>
    <row r="355" spans="1:19" x14ac:dyDescent="0.25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1">
        <v>814440.05999999994</v>
      </c>
      <c r="N355" s="1">
        <f>financials[[#This Row],[Sales]]-financials[[#This Row],[Budget]]</f>
        <v>121697.94000000006</v>
      </c>
      <c r="O355" s="10">
        <f>(financials[[#This Row],[Sales]]-financials[[#This Row],[Budget]])/financials[[#This Row],[Budget]]</f>
        <v>0.14942528735632193</v>
      </c>
      <c r="P355" s="6">
        <v>41883</v>
      </c>
      <c r="Q355" s="8">
        <v>9</v>
      </c>
      <c r="R355" s="5" t="s">
        <v>29</v>
      </c>
      <c r="S355" s="7" t="s">
        <v>15</v>
      </c>
    </row>
    <row r="356" spans="1:19" x14ac:dyDescent="0.25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1">
        <v>123641.175</v>
      </c>
      <c r="N356" s="1">
        <f>financials[[#This Row],[Sales]]-financials[[#This Row],[Budget]]</f>
        <v>-8088.6750000000029</v>
      </c>
      <c r="O356" s="10">
        <f>(financials[[#This Row],[Sales]]-financials[[#This Row],[Budget]])/financials[[#This Row],[Budget]]</f>
        <v>-6.5420560747663573E-2</v>
      </c>
      <c r="P356" s="6">
        <v>41518</v>
      </c>
      <c r="Q356" s="8">
        <v>9</v>
      </c>
      <c r="R356" s="5" t="s">
        <v>29</v>
      </c>
      <c r="S356" s="7" t="s">
        <v>14</v>
      </c>
    </row>
    <row r="357" spans="1:19" x14ac:dyDescent="0.25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1">
        <v>19755.059999999998</v>
      </c>
      <c r="N357" s="1">
        <f>financials[[#This Row],[Sales]]-financials[[#This Row],[Budget]]</f>
        <v>1039.7400000000016</v>
      </c>
      <c r="O357" s="10">
        <f>(financials[[#This Row],[Sales]]-financials[[#This Row],[Budget]])/financials[[#This Row],[Budget]]</f>
        <v>5.2631578947368508E-2</v>
      </c>
      <c r="P357" s="6">
        <v>41944</v>
      </c>
      <c r="Q357" s="8">
        <v>11</v>
      </c>
      <c r="R357" s="5" t="s">
        <v>31</v>
      </c>
      <c r="S357" s="7" t="s">
        <v>15</v>
      </c>
    </row>
    <row r="358" spans="1:19" x14ac:dyDescent="0.25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1">
        <v>421066.80000000005</v>
      </c>
      <c r="N358" s="1">
        <f>financials[[#This Row],[Sales]]-financials[[#This Row],[Budget]]</f>
        <v>-38278.800000000047</v>
      </c>
      <c r="O358" s="10">
        <f>(financials[[#This Row],[Sales]]-financials[[#This Row],[Budget]])/financials[[#This Row],[Budget]]</f>
        <v>-9.0909090909091009E-2</v>
      </c>
      <c r="P358" s="6">
        <v>41974</v>
      </c>
      <c r="Q358" s="8">
        <v>12</v>
      </c>
      <c r="R358" s="5" t="s">
        <v>32</v>
      </c>
      <c r="S358" s="7" t="s">
        <v>15</v>
      </c>
    </row>
    <row r="359" spans="1:19" x14ac:dyDescent="0.25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1">
        <v>3017.0111999999999</v>
      </c>
      <c r="N359" s="1">
        <f>financials[[#This Row],[Sales]]-financials[[#This Row],[Budget]]</f>
        <v>125.70880000000034</v>
      </c>
      <c r="O359" s="10">
        <f>(financials[[#This Row],[Sales]]-financials[[#This Row],[Budget]])/financials[[#This Row],[Budget]]</f>
        <v>4.1666666666666782E-2</v>
      </c>
      <c r="P359" s="6">
        <v>41671</v>
      </c>
      <c r="Q359" s="8">
        <v>2</v>
      </c>
      <c r="R359" s="5" t="s">
        <v>22</v>
      </c>
      <c r="S359" s="7" t="s">
        <v>15</v>
      </c>
    </row>
    <row r="360" spans="1:19" x14ac:dyDescent="0.25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1">
        <v>23588.799999999999</v>
      </c>
      <c r="N360" s="1">
        <f>financials[[#This Row],[Sales]]-financials[[#This Row],[Budget]]</f>
        <v>0</v>
      </c>
      <c r="O360" s="10">
        <f>(financials[[#This Row],[Sales]]-financials[[#This Row],[Budget]])/financials[[#This Row],[Budget]]</f>
        <v>0</v>
      </c>
      <c r="P360" s="6">
        <v>41791</v>
      </c>
      <c r="Q360" s="8">
        <v>6</v>
      </c>
      <c r="R360" s="5" t="s">
        <v>26</v>
      </c>
      <c r="S360" s="7" t="s">
        <v>15</v>
      </c>
    </row>
    <row r="361" spans="1:19" x14ac:dyDescent="0.25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1">
        <v>1572.3259999999998</v>
      </c>
      <c r="N361" s="1">
        <f>financials[[#This Row],[Sales]]-financials[[#This Row],[Budget]]</f>
        <v>82.754000000000133</v>
      </c>
      <c r="O361" s="10">
        <f>(financials[[#This Row],[Sales]]-financials[[#This Row],[Budget]])/financials[[#This Row],[Budget]]</f>
        <v>5.2631578947368515E-2</v>
      </c>
      <c r="P361" s="6">
        <v>41760</v>
      </c>
      <c r="Q361" s="8">
        <v>5</v>
      </c>
      <c r="R361" s="5" t="s">
        <v>25</v>
      </c>
      <c r="S361" s="7" t="s">
        <v>15</v>
      </c>
    </row>
    <row r="362" spans="1:19" x14ac:dyDescent="0.25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1">
        <v>23352.912</v>
      </c>
      <c r="N362" s="1">
        <f>financials[[#This Row],[Sales]]-financials[[#This Row],[Budget]]</f>
        <v>235.88799999999901</v>
      </c>
      <c r="O362" s="10">
        <f>(financials[[#This Row],[Sales]]-financials[[#This Row],[Budget]])/financials[[#This Row],[Budget]]</f>
        <v>1.0101010101010059E-2</v>
      </c>
      <c r="P362" s="6">
        <v>41791</v>
      </c>
      <c r="Q362" s="8">
        <v>6</v>
      </c>
      <c r="R362" s="5" t="s">
        <v>26</v>
      </c>
      <c r="S362" s="7" t="s">
        <v>15</v>
      </c>
    </row>
    <row r="363" spans="1:19" x14ac:dyDescent="0.25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1">
        <v>182413</v>
      </c>
      <c r="N363" s="1">
        <f>financials[[#This Row],[Sales]]-financials[[#This Row],[Budget]]</f>
        <v>-5313</v>
      </c>
      <c r="O363" s="10">
        <f>(financials[[#This Row],[Sales]]-financials[[#This Row],[Budget]])/financials[[#This Row],[Budget]]</f>
        <v>-2.9126213592233011E-2</v>
      </c>
      <c r="P363" s="6">
        <v>41852</v>
      </c>
      <c r="Q363" s="8">
        <v>8</v>
      </c>
      <c r="R363" s="5" t="s">
        <v>28</v>
      </c>
      <c r="S363" s="7" t="s">
        <v>15</v>
      </c>
    </row>
    <row r="364" spans="1:19" x14ac:dyDescent="0.25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1">
        <v>6626.76</v>
      </c>
      <c r="N364" s="1">
        <f>financials[[#This Row],[Sales]]-financials[[#This Row],[Budget]]</f>
        <v>135.23999999999978</v>
      </c>
      <c r="O364" s="10">
        <f>(financials[[#This Row],[Sales]]-financials[[#This Row],[Budget]])/financials[[#This Row],[Budget]]</f>
        <v>2.040816326530609E-2</v>
      </c>
      <c r="P364" s="6">
        <v>41944</v>
      </c>
      <c r="Q364" s="8">
        <v>11</v>
      </c>
      <c r="R364" s="5" t="s">
        <v>31</v>
      </c>
      <c r="S364" s="7" t="s">
        <v>15</v>
      </c>
    </row>
    <row r="365" spans="1:19" x14ac:dyDescent="0.25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1">
        <v>478034.76</v>
      </c>
      <c r="N365" s="1">
        <f>financials[[#This Row],[Sales]]-financials[[#This Row],[Budget]]</f>
        <v>-39470.760000000009</v>
      </c>
      <c r="O365" s="10">
        <f>(financials[[#This Row],[Sales]]-financials[[#This Row],[Budget]])/financials[[#This Row],[Budget]]</f>
        <v>-8.256880733944956E-2</v>
      </c>
      <c r="P365" s="6">
        <v>41974</v>
      </c>
      <c r="Q365" s="8">
        <v>12</v>
      </c>
      <c r="R365" s="5" t="s">
        <v>32</v>
      </c>
      <c r="S365" s="7" t="s">
        <v>15</v>
      </c>
    </row>
    <row r="366" spans="1:19" x14ac:dyDescent="0.25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1">
        <v>31407.558000000005</v>
      </c>
      <c r="N366" s="1">
        <f>financials[[#This Row],[Sales]]-financials[[#This Row],[Budget]]</f>
        <v>3106.2419999999984</v>
      </c>
      <c r="O366" s="10">
        <f>(financials[[#This Row],[Sales]]-financials[[#This Row],[Budget]])/financials[[#This Row],[Budget]]</f>
        <v>9.8901098901098841E-2</v>
      </c>
      <c r="P366" s="6">
        <v>41699</v>
      </c>
      <c r="Q366" s="8">
        <v>3</v>
      </c>
      <c r="R366" s="5" t="s">
        <v>23</v>
      </c>
      <c r="S366" s="7" t="s">
        <v>15</v>
      </c>
    </row>
    <row r="367" spans="1:19" x14ac:dyDescent="0.25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1">
        <v>13287.744000000001</v>
      </c>
      <c r="N367" s="1">
        <f>financials[[#This Row],[Sales]]-financials[[#This Row],[Budget]]</f>
        <v>-260.54399999999987</v>
      </c>
      <c r="O367" s="10">
        <f>(financials[[#This Row],[Sales]]-financials[[#This Row],[Budget]])/financials[[#This Row],[Budget]]</f>
        <v>-1.9607843137254891E-2</v>
      </c>
      <c r="P367" s="6">
        <v>41791</v>
      </c>
      <c r="Q367" s="8">
        <v>6</v>
      </c>
      <c r="R367" s="5" t="s">
        <v>26</v>
      </c>
      <c r="S367" s="7" t="s">
        <v>15</v>
      </c>
    </row>
    <row r="368" spans="1:19" x14ac:dyDescent="0.25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1">
        <v>12817.44</v>
      </c>
      <c r="N368" s="1">
        <f>financials[[#This Row],[Sales]]-financials[[#This Row],[Budget]]</f>
        <v>-949.44000000000051</v>
      </c>
      <c r="O368" s="10">
        <f>(financials[[#This Row],[Sales]]-financials[[#This Row],[Budget]])/financials[[#This Row],[Budget]]</f>
        <v>-7.4074074074074112E-2</v>
      </c>
      <c r="P368" s="6">
        <v>41821</v>
      </c>
      <c r="Q368" s="8">
        <v>7</v>
      </c>
      <c r="R368" s="5" t="s">
        <v>27</v>
      </c>
      <c r="S368" s="7" t="s">
        <v>15</v>
      </c>
    </row>
    <row r="369" spans="1:19" x14ac:dyDescent="0.25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1">
        <v>478534.32000000007</v>
      </c>
      <c r="N369" s="1">
        <f>financials[[#This Row],[Sales]]-financials[[#This Row],[Budget]]</f>
        <v>-47422.320000000065</v>
      </c>
      <c r="O369" s="10">
        <f>(financials[[#This Row],[Sales]]-financials[[#This Row],[Budget]])/financials[[#This Row],[Budget]]</f>
        <v>-9.9099099099099225E-2</v>
      </c>
      <c r="P369" s="6">
        <v>41852</v>
      </c>
      <c r="Q369" s="8">
        <v>8</v>
      </c>
      <c r="R369" s="5" t="s">
        <v>28</v>
      </c>
      <c r="S369" s="7" t="s">
        <v>15</v>
      </c>
    </row>
    <row r="370" spans="1:19" x14ac:dyDescent="0.25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1">
        <v>403683.11999999994</v>
      </c>
      <c r="N370" s="1">
        <f>financials[[#This Row],[Sales]]-financials[[#This Row],[Budget]]</f>
        <v>-49575.119999999937</v>
      </c>
      <c r="O370" s="10">
        <f>(financials[[#This Row],[Sales]]-financials[[#This Row],[Budget]])/financials[[#This Row],[Budget]]</f>
        <v>-0.12280701754385952</v>
      </c>
      <c r="P370" s="6">
        <v>41518</v>
      </c>
      <c r="Q370" s="8">
        <v>9</v>
      </c>
      <c r="R370" s="5" t="s">
        <v>29</v>
      </c>
      <c r="S370" s="7" t="s">
        <v>14</v>
      </c>
    </row>
    <row r="371" spans="1:19" x14ac:dyDescent="0.25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1">
        <v>10106.153999999999</v>
      </c>
      <c r="N371" s="1">
        <f>financials[[#This Row],[Sales]]-financials[[#This Row],[Budget]]</f>
        <v>-294.35399999999936</v>
      </c>
      <c r="O371" s="10">
        <f>(financials[[#This Row],[Sales]]-financials[[#This Row],[Budget]])/financials[[#This Row],[Budget]]</f>
        <v>-2.9126213592232952E-2</v>
      </c>
      <c r="P371" s="6">
        <v>41974</v>
      </c>
      <c r="Q371" s="8">
        <v>12</v>
      </c>
      <c r="R371" s="5" t="s">
        <v>32</v>
      </c>
      <c r="S371" s="7" t="s">
        <v>15</v>
      </c>
    </row>
    <row r="372" spans="1:19" x14ac:dyDescent="0.25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1">
        <v>128110</v>
      </c>
      <c r="N372" s="1">
        <f>financials[[#This Row],[Sales]]-financials[[#This Row],[Budget]]</f>
        <v>0</v>
      </c>
      <c r="O372" s="10">
        <f>(financials[[#This Row],[Sales]]-financials[[#This Row],[Budget]])/financials[[#This Row],[Budget]]</f>
        <v>0</v>
      </c>
      <c r="P372" s="6">
        <v>41699</v>
      </c>
      <c r="Q372" s="8">
        <v>3</v>
      </c>
      <c r="R372" s="5" t="s">
        <v>23</v>
      </c>
      <c r="S372" s="7" t="s">
        <v>15</v>
      </c>
    </row>
    <row r="373" spans="1:19" x14ac:dyDescent="0.25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1">
        <v>8837.6764000000003</v>
      </c>
      <c r="N373" s="1">
        <f>financials[[#This Row],[Sales]]-financials[[#This Row],[Budget]]</f>
        <v>-729.71640000000025</v>
      </c>
      <c r="O373" s="10">
        <f>(financials[[#This Row],[Sales]]-financials[[#This Row],[Budget]])/financials[[#This Row],[Budget]]</f>
        <v>-8.2568807339449574E-2</v>
      </c>
      <c r="P373" s="6">
        <v>41730</v>
      </c>
      <c r="Q373" s="8">
        <v>4</v>
      </c>
      <c r="R373" s="5" t="s">
        <v>24</v>
      </c>
      <c r="S373" s="7" t="s">
        <v>15</v>
      </c>
    </row>
    <row r="374" spans="1:19" x14ac:dyDescent="0.25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1">
        <v>7615.9440000000004</v>
      </c>
      <c r="N374" s="1">
        <f>financials[[#This Row],[Sales]]-financials[[#This Row],[Budget]]</f>
        <v>-564.14400000000023</v>
      </c>
      <c r="O374" s="10">
        <f>(financials[[#This Row],[Sales]]-financials[[#This Row],[Budget]])/financials[[#This Row],[Budget]]</f>
        <v>-7.4074074074074098E-2</v>
      </c>
      <c r="P374" s="6">
        <v>41760</v>
      </c>
      <c r="Q374" s="8">
        <v>5</v>
      </c>
      <c r="R374" s="5" t="s">
        <v>25</v>
      </c>
      <c r="S374" s="7" t="s">
        <v>15</v>
      </c>
    </row>
    <row r="375" spans="1:19" x14ac:dyDescent="0.25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1">
        <v>25134.400000000001</v>
      </c>
      <c r="N375" s="1">
        <f>financials[[#This Row],[Sales]]-financials[[#This Row],[Budget]]</f>
        <v>0</v>
      </c>
      <c r="O375" s="10">
        <f>(financials[[#This Row],[Sales]]-financials[[#This Row],[Budget]])/financials[[#This Row],[Budget]]</f>
        <v>0</v>
      </c>
      <c r="P375" s="6">
        <v>41791</v>
      </c>
      <c r="Q375" s="8">
        <v>6</v>
      </c>
      <c r="R375" s="5" t="s">
        <v>26</v>
      </c>
      <c r="S375" s="7" t="s">
        <v>15</v>
      </c>
    </row>
    <row r="376" spans="1:19" x14ac:dyDescent="0.25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1">
        <v>604274.4</v>
      </c>
      <c r="N376" s="1">
        <f>financials[[#This Row],[Sales]]-financials[[#This Row],[Budget]]</f>
        <v>74685.599999999977</v>
      </c>
      <c r="O376" s="10">
        <f>(financials[[#This Row],[Sales]]-financials[[#This Row],[Budget]])/financials[[#This Row],[Budget]]</f>
        <v>0.12359550561797748</v>
      </c>
      <c r="P376" s="6">
        <v>41791</v>
      </c>
      <c r="Q376" s="8">
        <v>6</v>
      </c>
      <c r="R376" s="5" t="s">
        <v>26</v>
      </c>
      <c r="S376" s="7" t="s">
        <v>15</v>
      </c>
    </row>
    <row r="377" spans="1:19" x14ac:dyDescent="0.25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1">
        <v>3973.3512000000001</v>
      </c>
      <c r="N377" s="1">
        <f>financials[[#This Row],[Sales]]-financials[[#This Row],[Budget]]</f>
        <v>392.96879999999965</v>
      </c>
      <c r="O377" s="10">
        <f>(financials[[#This Row],[Sales]]-financials[[#This Row],[Budget]])/financials[[#This Row],[Budget]]</f>
        <v>9.8901098901098813E-2</v>
      </c>
      <c r="P377" s="6">
        <v>41852</v>
      </c>
      <c r="Q377" s="8">
        <v>8</v>
      </c>
      <c r="R377" s="5" t="s">
        <v>28</v>
      </c>
      <c r="S377" s="7" t="s">
        <v>15</v>
      </c>
    </row>
    <row r="378" spans="1:19" x14ac:dyDescent="0.25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1">
        <v>11526.054400000003</v>
      </c>
      <c r="N378" s="1">
        <f>financials[[#This Row],[Sales]]-financials[[#This Row],[Budget]]</f>
        <v>-1234.9344000000019</v>
      </c>
      <c r="O378" s="10">
        <f>(financials[[#This Row],[Sales]]-financials[[#This Row],[Budget]])/financials[[#This Row],[Budget]]</f>
        <v>-0.10714285714285729</v>
      </c>
      <c r="P378" s="6">
        <v>41852</v>
      </c>
      <c r="Q378" s="8">
        <v>8</v>
      </c>
      <c r="R378" s="5" t="s">
        <v>28</v>
      </c>
      <c r="S378" s="7" t="s">
        <v>15</v>
      </c>
    </row>
    <row r="379" spans="1:19" x14ac:dyDescent="0.25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1">
        <v>14117.703599999999</v>
      </c>
      <c r="N379" s="1">
        <f>financials[[#This Row],[Sales]]-financials[[#This Row],[Budget]]</f>
        <v>1396.2564000000002</v>
      </c>
      <c r="O379" s="10">
        <f>(financials[[#This Row],[Sales]]-financials[[#This Row],[Budget]])/financials[[#This Row],[Budget]]</f>
        <v>9.8901098901098924E-2</v>
      </c>
      <c r="P379" s="6">
        <v>41518</v>
      </c>
      <c r="Q379" s="8">
        <v>9</v>
      </c>
      <c r="R379" s="5" t="s">
        <v>29</v>
      </c>
      <c r="S379" s="7" t="s">
        <v>14</v>
      </c>
    </row>
    <row r="380" spans="1:19" x14ac:dyDescent="0.25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1">
        <v>38432.448000000004</v>
      </c>
      <c r="N380" s="1">
        <f>financials[[#This Row],[Sales]]-financials[[#This Row],[Budget]]</f>
        <v>-2846.8480000000054</v>
      </c>
      <c r="O380" s="10">
        <f>(financials[[#This Row],[Sales]]-financials[[#This Row],[Budget]])/financials[[#This Row],[Budget]]</f>
        <v>-7.4074074074074209E-2</v>
      </c>
      <c r="P380" s="6">
        <v>41883</v>
      </c>
      <c r="Q380" s="8">
        <v>9</v>
      </c>
      <c r="R380" s="5" t="s">
        <v>29</v>
      </c>
      <c r="S380" s="7" t="s">
        <v>15</v>
      </c>
    </row>
    <row r="381" spans="1:19" x14ac:dyDescent="0.25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1">
        <v>58375.472000000002</v>
      </c>
      <c r="N381" s="1">
        <f>financials[[#This Row],[Sales]]-financials[[#This Row],[Budget]]</f>
        <v>-3304.2720000000045</v>
      </c>
      <c r="O381" s="10">
        <f>(financials[[#This Row],[Sales]]-financials[[#This Row],[Budget]])/financials[[#This Row],[Budget]]</f>
        <v>-5.6603773584905738E-2</v>
      </c>
      <c r="P381" s="6">
        <v>41883</v>
      </c>
      <c r="Q381" s="8">
        <v>9</v>
      </c>
      <c r="R381" s="5" t="s">
        <v>29</v>
      </c>
      <c r="S381" s="7" t="s">
        <v>15</v>
      </c>
    </row>
    <row r="382" spans="1:19" x14ac:dyDescent="0.25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1">
        <v>594270.31999999995</v>
      </c>
      <c r="N382" s="1">
        <f>financials[[#This Row],[Sales]]-financials[[#This Row],[Budget]]</f>
        <v>96741.680000000051</v>
      </c>
      <c r="O382" s="10">
        <f>(financials[[#This Row],[Sales]]-financials[[#This Row],[Budget]])/financials[[#This Row],[Budget]]</f>
        <v>0.1627906976744187</v>
      </c>
      <c r="P382" s="6">
        <v>41579</v>
      </c>
      <c r="Q382" s="8">
        <v>11</v>
      </c>
      <c r="R382" s="5" t="s">
        <v>31</v>
      </c>
      <c r="S382" s="7" t="s">
        <v>14</v>
      </c>
    </row>
    <row r="383" spans="1:19" x14ac:dyDescent="0.25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1">
        <v>12281.5952</v>
      </c>
      <c r="N383" s="1">
        <f>financials[[#This Row],[Sales]]-financials[[#This Row],[Budget]]</f>
        <v>250.64480000000003</v>
      </c>
      <c r="O383" s="10">
        <f>(financials[[#This Row],[Sales]]-financials[[#This Row],[Budget]])/financials[[#This Row],[Budget]]</f>
        <v>2.0408163265306124E-2</v>
      </c>
      <c r="P383" s="6">
        <v>41609</v>
      </c>
      <c r="Q383" s="8">
        <v>12</v>
      </c>
      <c r="R383" s="5" t="s">
        <v>32</v>
      </c>
      <c r="S383" s="7" t="s">
        <v>14</v>
      </c>
    </row>
    <row r="384" spans="1:19" x14ac:dyDescent="0.25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1">
        <v>464877.84</v>
      </c>
      <c r="N384" s="1">
        <f>financials[[#This Row],[Sales]]-financials[[#This Row],[Budget]]</f>
        <v>-26313.840000000026</v>
      </c>
      <c r="O384" s="10">
        <f>(financials[[#This Row],[Sales]]-financials[[#This Row],[Budget]])/financials[[#This Row],[Budget]]</f>
        <v>-5.660377358490571E-2</v>
      </c>
      <c r="P384" s="6">
        <v>41974</v>
      </c>
      <c r="Q384" s="8">
        <v>12</v>
      </c>
      <c r="R384" s="5" t="s">
        <v>32</v>
      </c>
      <c r="S384" s="7" t="s">
        <v>15</v>
      </c>
    </row>
    <row r="385" spans="1:19" x14ac:dyDescent="0.25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1">
        <v>6535.9008000000003</v>
      </c>
      <c r="N385" s="1">
        <f>financials[[#This Row],[Sales]]-financials[[#This Row],[Budget]]</f>
        <v>66.019199999999728</v>
      </c>
      <c r="O385" s="10">
        <f>(financials[[#This Row],[Sales]]-financials[[#This Row],[Budget]])/financials[[#This Row],[Budget]]</f>
        <v>1.0101010101010059E-2</v>
      </c>
      <c r="P385" s="6">
        <v>41699</v>
      </c>
      <c r="Q385" s="8">
        <v>3</v>
      </c>
      <c r="R385" s="5" t="s">
        <v>23</v>
      </c>
      <c r="S385" s="7" t="s">
        <v>15</v>
      </c>
    </row>
    <row r="386" spans="1:19" x14ac:dyDescent="0.25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1">
        <v>16661.761200000001</v>
      </c>
      <c r="N386" s="1">
        <f>financials[[#This Row],[Sales]]-financials[[#This Row],[Budget]]</f>
        <v>2059.3188000000009</v>
      </c>
      <c r="O386" s="10">
        <f>(financials[[#This Row],[Sales]]-financials[[#This Row],[Budget]])/financials[[#This Row],[Budget]]</f>
        <v>0.12359550561797758</v>
      </c>
      <c r="P386" s="6">
        <v>41791</v>
      </c>
      <c r="Q386" s="8">
        <v>6</v>
      </c>
      <c r="R386" s="5" t="s">
        <v>26</v>
      </c>
      <c r="S386" s="7" t="s">
        <v>15</v>
      </c>
    </row>
    <row r="387" spans="1:19" x14ac:dyDescent="0.25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1">
        <v>15658.988799999999</v>
      </c>
      <c r="N387" s="1">
        <f>financials[[#This Row],[Sales]]-financials[[#This Row],[Budget]]</f>
        <v>-602.26879999999983</v>
      </c>
      <c r="O387" s="10">
        <f>(financials[[#This Row],[Sales]]-financials[[#This Row],[Budget]])/financials[[#This Row],[Budget]]</f>
        <v>-3.846153846153845E-2</v>
      </c>
      <c r="P387" s="6">
        <v>41791</v>
      </c>
      <c r="Q387" s="8">
        <v>6</v>
      </c>
      <c r="R387" s="5" t="s">
        <v>26</v>
      </c>
      <c r="S387" s="7" t="s">
        <v>15</v>
      </c>
    </row>
    <row r="388" spans="1:19" x14ac:dyDescent="0.25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1">
        <v>122516.4</v>
      </c>
      <c r="N388" s="1">
        <f>financials[[#This Row],[Sales]]-financials[[#This Row],[Budget]]</f>
        <v>-15980.399999999994</v>
      </c>
      <c r="O388" s="10">
        <f>(financials[[#This Row],[Sales]]-financials[[#This Row],[Budget]])/financials[[#This Row],[Budget]]</f>
        <v>-0.13043478260869562</v>
      </c>
      <c r="P388" s="6">
        <v>41579</v>
      </c>
      <c r="Q388" s="8">
        <v>11</v>
      </c>
      <c r="R388" s="5" t="s">
        <v>31</v>
      </c>
      <c r="S388" s="7" t="s">
        <v>14</v>
      </c>
    </row>
    <row r="389" spans="1:19" x14ac:dyDescent="0.25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1">
        <v>168249.60000000001</v>
      </c>
      <c r="N389" s="1">
        <f>financials[[#This Row],[Sales]]-financials[[#This Row],[Budget]]</f>
        <v>7010.3999999999942</v>
      </c>
      <c r="O389" s="10">
        <f>(financials[[#This Row],[Sales]]-financials[[#This Row],[Budget]])/financials[[#This Row],[Budget]]</f>
        <v>4.166666666666663E-2</v>
      </c>
      <c r="P389" s="6">
        <v>41974</v>
      </c>
      <c r="Q389" s="8">
        <v>12</v>
      </c>
      <c r="R389" s="5" t="s">
        <v>32</v>
      </c>
      <c r="S389" s="7" t="s">
        <v>15</v>
      </c>
    </row>
    <row r="390" spans="1:19" x14ac:dyDescent="0.25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1">
        <v>186838.89</v>
      </c>
      <c r="N390" s="1">
        <f>financials[[#This Row],[Sales]]-financials[[#This Row],[Budget]]</f>
        <v>-1849.890000000014</v>
      </c>
      <c r="O390" s="10">
        <f>(financials[[#This Row],[Sales]]-financials[[#This Row],[Budget]])/financials[[#This Row],[Budget]]</f>
        <v>-9.9009900990099757E-3</v>
      </c>
      <c r="P390" s="6">
        <v>41730</v>
      </c>
      <c r="Q390" s="8">
        <v>4</v>
      </c>
      <c r="R390" s="5" t="s">
        <v>24</v>
      </c>
      <c r="S390" s="7" t="s">
        <v>15</v>
      </c>
    </row>
    <row r="391" spans="1:19" x14ac:dyDescent="0.25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1">
        <v>13249.9136</v>
      </c>
      <c r="N391" s="1">
        <f>financials[[#This Row],[Sales]]-financials[[#This Row],[Budget]]</f>
        <v>1806.8063999999995</v>
      </c>
      <c r="O391" s="10">
        <f>(financials[[#This Row],[Sales]]-financials[[#This Row],[Budget]])/financials[[#This Row],[Budget]]</f>
        <v>0.13636363636363633</v>
      </c>
      <c r="P391" s="6">
        <v>41791</v>
      </c>
      <c r="Q391" s="8">
        <v>6</v>
      </c>
      <c r="R391" s="5" t="s">
        <v>26</v>
      </c>
      <c r="S391" s="7" t="s">
        <v>15</v>
      </c>
    </row>
    <row r="392" spans="1:19" x14ac:dyDescent="0.25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1">
        <v>128816.1</v>
      </c>
      <c r="N392" s="1">
        <f>financials[[#This Row],[Sales]]-financials[[#This Row],[Budget]]</f>
        <v>-6134.1000000000058</v>
      </c>
      <c r="O392" s="10">
        <f>(financials[[#This Row],[Sales]]-financials[[#This Row],[Budget]])/financials[[#This Row],[Budget]]</f>
        <v>-4.7619047619047665E-2</v>
      </c>
      <c r="P392" s="6">
        <v>41852</v>
      </c>
      <c r="Q392" s="8">
        <v>8</v>
      </c>
      <c r="R392" s="5" t="s">
        <v>28</v>
      </c>
      <c r="S392" s="7" t="s">
        <v>15</v>
      </c>
    </row>
    <row r="393" spans="1:19" x14ac:dyDescent="0.25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1">
        <v>154907.75999999998</v>
      </c>
      <c r="N393" s="1">
        <f>financials[[#This Row],[Sales]]-financials[[#This Row],[Budget]]</f>
        <v>-19023.75999999998</v>
      </c>
      <c r="O393" s="10">
        <f>(financials[[#This Row],[Sales]]-financials[[#This Row],[Budget]])/financials[[#This Row],[Budget]]</f>
        <v>-0.12280701754385953</v>
      </c>
      <c r="P393" s="6">
        <v>41852</v>
      </c>
      <c r="Q393" s="8">
        <v>8</v>
      </c>
      <c r="R393" s="5" t="s">
        <v>28</v>
      </c>
      <c r="S393" s="7" t="s">
        <v>15</v>
      </c>
    </row>
    <row r="394" spans="1:19" x14ac:dyDescent="0.25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1">
        <v>677331.6</v>
      </c>
      <c r="N394" s="1">
        <f>financials[[#This Row],[Sales]]-financials[[#This Row],[Budget]]</f>
        <v>-88347.599999999977</v>
      </c>
      <c r="O394" s="10">
        <f>(financials[[#This Row],[Sales]]-financials[[#This Row],[Budget]])/financials[[#This Row],[Budget]]</f>
        <v>-0.13043478260869562</v>
      </c>
      <c r="P394" s="6">
        <v>41883</v>
      </c>
      <c r="Q394" s="8">
        <v>9</v>
      </c>
      <c r="R394" s="5" t="s">
        <v>29</v>
      </c>
      <c r="S394" s="7" t="s">
        <v>15</v>
      </c>
    </row>
    <row r="395" spans="1:19" x14ac:dyDescent="0.25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1">
        <v>245308.80000000002</v>
      </c>
      <c r="N395" s="1">
        <f>financials[[#This Row],[Sales]]-financials[[#This Row],[Budget]]</f>
        <v>-22300.800000000017</v>
      </c>
      <c r="O395" s="10">
        <f>(financials[[#This Row],[Sales]]-financials[[#This Row],[Budget]])/financials[[#This Row],[Budget]]</f>
        <v>-9.0909090909090967E-2</v>
      </c>
      <c r="P395" s="6">
        <v>41609</v>
      </c>
      <c r="Q395" s="8">
        <v>12</v>
      </c>
      <c r="R395" s="5" t="s">
        <v>32</v>
      </c>
      <c r="S395" s="7" t="s">
        <v>14</v>
      </c>
    </row>
    <row r="396" spans="1:19" x14ac:dyDescent="0.25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1">
        <v>14590.464000000002</v>
      </c>
      <c r="N396" s="1">
        <f>financials[[#This Row],[Sales]]-financials[[#This Row],[Budget]]</f>
        <v>-1563.264000000001</v>
      </c>
      <c r="O396" s="10">
        <f>(financials[[#This Row],[Sales]]-financials[[#This Row],[Budget]])/financials[[#This Row],[Budget]]</f>
        <v>-0.10714285714285721</v>
      </c>
      <c r="P396" s="6">
        <v>41791</v>
      </c>
      <c r="Q396" s="8">
        <v>6</v>
      </c>
      <c r="R396" s="5" t="s">
        <v>26</v>
      </c>
      <c r="S396" s="7" t="s">
        <v>15</v>
      </c>
    </row>
    <row r="397" spans="1:19" x14ac:dyDescent="0.25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1">
        <v>20218.766400000004</v>
      </c>
      <c r="N397" s="1">
        <f>financials[[#This Row],[Sales]]-financials[[#This Row],[Budget]]</f>
        <v>-1497.6864000000023</v>
      </c>
      <c r="O397" s="10">
        <f>(financials[[#This Row],[Sales]]-financials[[#This Row],[Budget]])/financials[[#This Row],[Budget]]</f>
        <v>-7.4074074074074167E-2</v>
      </c>
      <c r="P397" s="6">
        <v>41791</v>
      </c>
      <c r="Q397" s="8">
        <v>6</v>
      </c>
      <c r="R397" s="5" t="s">
        <v>26</v>
      </c>
      <c r="S397" s="7" t="s">
        <v>15</v>
      </c>
    </row>
    <row r="398" spans="1:19" x14ac:dyDescent="0.25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1">
        <v>22118.272000000001</v>
      </c>
      <c r="N398" s="1">
        <f>financials[[#This Row],[Sales]]-financials[[#This Row],[Budget]]</f>
        <v>3016.1280000000006</v>
      </c>
      <c r="O398" s="10">
        <f>(financials[[#This Row],[Sales]]-financials[[#This Row],[Budget]])/financials[[#This Row],[Budget]]</f>
        <v>0.13636363636363638</v>
      </c>
      <c r="P398" s="6">
        <v>41791</v>
      </c>
      <c r="Q398" s="8">
        <v>6</v>
      </c>
      <c r="R398" s="5" t="s">
        <v>26</v>
      </c>
      <c r="S398" s="7" t="s">
        <v>15</v>
      </c>
    </row>
    <row r="399" spans="1:19" x14ac:dyDescent="0.25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1">
        <v>590695.19999999995</v>
      </c>
      <c r="N399" s="1">
        <f>financials[[#This Row],[Sales]]-financials[[#This Row],[Budget]]</f>
        <v>88264.800000000047</v>
      </c>
      <c r="O399" s="10">
        <f>(financials[[#This Row],[Sales]]-financials[[#This Row],[Budget]])/financials[[#This Row],[Budget]]</f>
        <v>0.14942528735632193</v>
      </c>
      <c r="P399" s="6">
        <v>41791</v>
      </c>
      <c r="Q399" s="8">
        <v>6</v>
      </c>
      <c r="R399" s="5" t="s">
        <v>26</v>
      </c>
      <c r="S399" s="7" t="s">
        <v>15</v>
      </c>
    </row>
    <row r="400" spans="1:19" x14ac:dyDescent="0.25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1">
        <v>26289.919999999998</v>
      </c>
      <c r="N400" s="1">
        <f>financials[[#This Row],[Sales]]-financials[[#This Row],[Budget]]</f>
        <v>1678.0800000000017</v>
      </c>
      <c r="O400" s="10">
        <f>(financials[[#This Row],[Sales]]-financials[[#This Row],[Budget]])/financials[[#This Row],[Budget]]</f>
        <v>6.3829787234042618E-2</v>
      </c>
      <c r="P400" s="6">
        <v>41944</v>
      </c>
      <c r="Q400" s="8">
        <v>11</v>
      </c>
      <c r="R400" s="5" t="s">
        <v>31</v>
      </c>
      <c r="S400" s="7" t="s">
        <v>15</v>
      </c>
    </row>
    <row r="401" spans="1:19" x14ac:dyDescent="0.25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1">
        <v>8732.5019999999986</v>
      </c>
      <c r="N401" s="1">
        <f>financials[[#This Row],[Sales]]-financials[[#This Row],[Budget]]</f>
        <v>1079.2980000000007</v>
      </c>
      <c r="O401" s="10">
        <f>(financials[[#This Row],[Sales]]-financials[[#This Row],[Budget]])/financials[[#This Row],[Budget]]</f>
        <v>0.12359550561797762</v>
      </c>
      <c r="P401" s="6">
        <v>41974</v>
      </c>
      <c r="Q401" s="8">
        <v>12</v>
      </c>
      <c r="R401" s="5" t="s">
        <v>32</v>
      </c>
      <c r="S401" s="7" t="s">
        <v>15</v>
      </c>
    </row>
    <row r="402" spans="1:19" x14ac:dyDescent="0.25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1">
        <v>16242.6</v>
      </c>
      <c r="N402" s="1">
        <f>financials[[#This Row],[Sales]]-financials[[#This Row],[Budget]]</f>
        <v>-1062.6000000000004</v>
      </c>
      <c r="O402" s="10">
        <f>(financials[[#This Row],[Sales]]-financials[[#This Row],[Budget]])/financials[[#This Row],[Budget]]</f>
        <v>-6.5420560747663573E-2</v>
      </c>
      <c r="P402" s="6">
        <v>41609</v>
      </c>
      <c r="Q402" s="8">
        <v>12</v>
      </c>
      <c r="R402" s="5" t="s">
        <v>32</v>
      </c>
      <c r="S402" s="7" t="s">
        <v>14</v>
      </c>
    </row>
    <row r="403" spans="1:19" x14ac:dyDescent="0.25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1">
        <v>157734</v>
      </c>
      <c r="N403" s="1">
        <f>financials[[#This Row],[Sales]]-financials[[#This Row],[Budget]]</f>
        <v>17526</v>
      </c>
      <c r="O403" s="10">
        <f>(financials[[#This Row],[Sales]]-financials[[#This Row],[Budget]])/financials[[#This Row],[Budget]]</f>
        <v>0.1111111111111111</v>
      </c>
      <c r="P403" s="6">
        <v>41974</v>
      </c>
      <c r="Q403" s="8">
        <v>12</v>
      </c>
      <c r="R403" s="5" t="s">
        <v>32</v>
      </c>
      <c r="S403" s="7" t="s">
        <v>15</v>
      </c>
    </row>
    <row r="404" spans="1:19" x14ac:dyDescent="0.25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1">
        <v>7389.0720000000001</v>
      </c>
      <c r="N404" s="1">
        <f>financials[[#This Row],[Sales]]-financials[[#This Row],[Budget]]</f>
        <v>642.52799999999934</v>
      </c>
      <c r="O404" s="10">
        <f>(financials[[#This Row],[Sales]]-financials[[#This Row],[Budget]])/financials[[#This Row],[Budget]]</f>
        <v>8.6956521739130349E-2</v>
      </c>
      <c r="P404" s="6">
        <v>41821</v>
      </c>
      <c r="Q404" s="8">
        <v>7</v>
      </c>
      <c r="R404" s="5" t="s">
        <v>27</v>
      </c>
      <c r="S404" s="7" t="s">
        <v>15</v>
      </c>
    </row>
    <row r="405" spans="1:19" x14ac:dyDescent="0.25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1">
        <v>289702.14</v>
      </c>
      <c r="N405" s="1">
        <f>financials[[#This Row],[Sales]]-financials[[#This Row],[Budget]]</f>
        <v>8959.859999999986</v>
      </c>
      <c r="O405" s="10">
        <f>(financials[[#This Row],[Sales]]-financials[[#This Row],[Budget]])/financials[[#This Row],[Budget]]</f>
        <v>3.0927835051546341E-2</v>
      </c>
      <c r="P405" s="6">
        <v>41791</v>
      </c>
      <c r="Q405" s="8">
        <v>6</v>
      </c>
      <c r="R405" s="5" t="s">
        <v>26</v>
      </c>
      <c r="S405" s="7" t="s">
        <v>15</v>
      </c>
    </row>
    <row r="406" spans="1:19" x14ac:dyDescent="0.25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1">
        <v>4208.0219999999999</v>
      </c>
      <c r="N406" s="1">
        <f>financials[[#This Row],[Sales]]-financials[[#This Row],[Budget]]</f>
        <v>-200.38200000000006</v>
      </c>
      <c r="O406" s="10">
        <f>(financials[[#This Row],[Sales]]-financials[[#This Row],[Budget]])/financials[[#This Row],[Budget]]</f>
        <v>-4.7619047619047637E-2</v>
      </c>
      <c r="P406" s="6">
        <v>41548</v>
      </c>
      <c r="Q406" s="8">
        <v>10</v>
      </c>
      <c r="R406" s="5" t="s">
        <v>30</v>
      </c>
      <c r="S406" s="7" t="s">
        <v>14</v>
      </c>
    </row>
    <row r="407" spans="1:19" x14ac:dyDescent="0.25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1">
        <v>955035.9</v>
      </c>
      <c r="N407" s="1">
        <f>financials[[#This Row],[Sales]]-financials[[#This Row],[Budget]]</f>
        <v>83046.599999999977</v>
      </c>
      <c r="O407" s="10">
        <f>(financials[[#This Row],[Sales]]-financials[[#This Row],[Budget]])/financials[[#This Row],[Budget]]</f>
        <v>8.6956521739130405E-2</v>
      </c>
      <c r="P407" s="6">
        <v>41730</v>
      </c>
      <c r="Q407" s="8">
        <v>4</v>
      </c>
      <c r="R407" s="5" t="s">
        <v>24</v>
      </c>
      <c r="S407" s="7" t="s">
        <v>15</v>
      </c>
    </row>
    <row r="408" spans="1:19" x14ac:dyDescent="0.25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1">
        <v>530621</v>
      </c>
      <c r="N408" s="1">
        <f>financials[[#This Row],[Sales]]-financials[[#This Row],[Budget]]</f>
        <v>0</v>
      </c>
      <c r="O408" s="10">
        <f>(financials[[#This Row],[Sales]]-financials[[#This Row],[Budget]])/financials[[#This Row],[Budget]]</f>
        <v>0</v>
      </c>
      <c r="P408" s="6">
        <v>41760</v>
      </c>
      <c r="Q408" s="8">
        <v>5</v>
      </c>
      <c r="R408" s="5" t="s">
        <v>25</v>
      </c>
      <c r="S408" s="7" t="s">
        <v>15</v>
      </c>
    </row>
    <row r="409" spans="1:19" x14ac:dyDescent="0.25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1">
        <v>99333.779999999984</v>
      </c>
      <c r="N409" s="1">
        <f>financials[[#This Row],[Sales]]-financials[[#This Row],[Budget]]</f>
        <v>-11427.779999999984</v>
      </c>
      <c r="O409" s="10">
        <f>(financials[[#This Row],[Sales]]-financials[[#This Row],[Budget]])/financials[[#This Row],[Budget]]</f>
        <v>-0.11504424778761048</v>
      </c>
      <c r="P409" s="6">
        <v>41518</v>
      </c>
      <c r="Q409" s="8">
        <v>9</v>
      </c>
      <c r="R409" s="5" t="s">
        <v>29</v>
      </c>
      <c r="S409" s="7" t="s">
        <v>14</v>
      </c>
    </row>
    <row r="410" spans="1:19" x14ac:dyDescent="0.25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1">
        <v>23064.2412</v>
      </c>
      <c r="N410" s="1">
        <f>financials[[#This Row],[Sales]]-financials[[#This Row],[Budget]]</f>
        <v>2281.0787999999993</v>
      </c>
      <c r="O410" s="10">
        <f>(financials[[#This Row],[Sales]]-financials[[#This Row],[Budget]])/financials[[#This Row],[Budget]]</f>
        <v>9.8901098901098869E-2</v>
      </c>
      <c r="P410" s="6">
        <v>41944</v>
      </c>
      <c r="Q410" s="8">
        <v>11</v>
      </c>
      <c r="R410" s="5" t="s">
        <v>31</v>
      </c>
      <c r="S410" s="7" t="s">
        <v>15</v>
      </c>
    </row>
    <row r="411" spans="1:19" x14ac:dyDescent="0.25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1">
        <v>190110.375</v>
      </c>
      <c r="N411" s="1">
        <f>financials[[#This Row],[Sales]]-financials[[#This Row],[Budget]]</f>
        <v>21123.375</v>
      </c>
      <c r="O411" s="10">
        <f>(financials[[#This Row],[Sales]]-financials[[#This Row],[Budget]])/financials[[#This Row],[Budget]]</f>
        <v>0.1111111111111111</v>
      </c>
      <c r="P411" s="6">
        <v>41579</v>
      </c>
      <c r="Q411" s="8">
        <v>11</v>
      </c>
      <c r="R411" s="5" t="s">
        <v>31</v>
      </c>
      <c r="S411" s="7" t="s">
        <v>14</v>
      </c>
    </row>
    <row r="412" spans="1:19" x14ac:dyDescent="0.25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1">
        <v>9748.9664999999986</v>
      </c>
      <c r="N412" s="1">
        <f>financials[[#This Row],[Sales]]-financials[[#This Row],[Budget]]</f>
        <v>513.10350000000108</v>
      </c>
      <c r="O412" s="10">
        <f>(financials[[#This Row],[Sales]]-financials[[#This Row],[Budget]])/financials[[#This Row],[Budget]]</f>
        <v>5.2631578947368536E-2</v>
      </c>
      <c r="P412" s="6">
        <v>41609</v>
      </c>
      <c r="Q412" s="8">
        <v>12</v>
      </c>
      <c r="R412" s="5" t="s">
        <v>32</v>
      </c>
      <c r="S412" s="7" t="s">
        <v>14</v>
      </c>
    </row>
    <row r="413" spans="1:19" x14ac:dyDescent="0.25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1">
        <v>279979.7</v>
      </c>
      <c r="N413" s="1">
        <f>financials[[#This Row],[Sales]]-financials[[#This Row],[Budget]]</f>
        <v>38179.049999999988</v>
      </c>
      <c r="O413" s="10">
        <f>(financials[[#This Row],[Sales]]-financials[[#This Row],[Budget]])/financials[[#This Row],[Budget]]</f>
        <v>0.13636363636363633</v>
      </c>
      <c r="P413" s="6">
        <v>41974</v>
      </c>
      <c r="Q413" s="8">
        <v>12</v>
      </c>
      <c r="R413" s="5" t="s">
        <v>32</v>
      </c>
      <c r="S413" s="7" t="s">
        <v>15</v>
      </c>
    </row>
    <row r="414" spans="1:19" x14ac:dyDescent="0.25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1">
        <v>83887.44</v>
      </c>
      <c r="N414" s="1">
        <f>financials[[#This Row],[Sales]]-financials[[#This Row],[Budget]]</f>
        <v>7294.5599999999977</v>
      </c>
      <c r="O414" s="10">
        <f>(financials[[#This Row],[Sales]]-financials[[#This Row],[Budget]])/financials[[#This Row],[Budget]]</f>
        <v>8.6956521739130405E-2</v>
      </c>
      <c r="P414" s="6">
        <v>41609</v>
      </c>
      <c r="Q414" s="8">
        <v>12</v>
      </c>
      <c r="R414" s="5" t="s">
        <v>32</v>
      </c>
      <c r="S414" s="7" t="s">
        <v>14</v>
      </c>
    </row>
    <row r="415" spans="1:19" x14ac:dyDescent="0.25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1">
        <v>658230.29999999993</v>
      </c>
      <c r="N415" s="1">
        <f>financials[[#This Row],[Sales]]-financials[[#This Row],[Budget]]</f>
        <v>42014.70000000007</v>
      </c>
      <c r="O415" s="10">
        <f>(financials[[#This Row],[Sales]]-financials[[#This Row],[Budget]])/financials[[#This Row],[Budget]]</f>
        <v>6.3829787234042659E-2</v>
      </c>
      <c r="P415" s="6">
        <v>41640</v>
      </c>
      <c r="Q415" s="8">
        <v>1</v>
      </c>
      <c r="R415" s="5" t="s">
        <v>21</v>
      </c>
      <c r="S415" s="7" t="s">
        <v>15</v>
      </c>
    </row>
    <row r="416" spans="1:19" x14ac:dyDescent="0.25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1">
        <v>677436.76</v>
      </c>
      <c r="N416" s="1">
        <f>financials[[#This Row],[Sales]]-financials[[#This Row],[Budget]]</f>
        <v>92377.739999999991</v>
      </c>
      <c r="O416" s="10">
        <f>(financials[[#This Row],[Sales]]-financials[[#This Row],[Budget]])/financials[[#This Row],[Budget]]</f>
        <v>0.13636363636363635</v>
      </c>
      <c r="P416" s="6">
        <v>41640</v>
      </c>
      <c r="Q416" s="8">
        <v>1</v>
      </c>
      <c r="R416" s="5" t="s">
        <v>21</v>
      </c>
      <c r="S416" s="7" t="s">
        <v>15</v>
      </c>
    </row>
    <row r="417" spans="1:19" x14ac:dyDescent="0.25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1">
        <v>45649.012500000004</v>
      </c>
      <c r="N417" s="1">
        <f>financials[[#This Row],[Sales]]-financials[[#This Row],[Budget]]</f>
        <v>4514.7374999999956</v>
      </c>
      <c r="O417" s="10">
        <f>(financials[[#This Row],[Sales]]-financials[[#This Row],[Budget]])/financials[[#This Row],[Budget]]</f>
        <v>9.89010989010988E-2</v>
      </c>
      <c r="P417" s="6">
        <v>41730</v>
      </c>
      <c r="Q417" s="8">
        <v>4</v>
      </c>
      <c r="R417" s="5" t="s">
        <v>24</v>
      </c>
      <c r="S417" s="7" t="s">
        <v>15</v>
      </c>
    </row>
    <row r="418" spans="1:19" x14ac:dyDescent="0.25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1">
        <v>331514.82</v>
      </c>
      <c r="N418" s="1">
        <f>financials[[#This Row],[Sales]]-financials[[#This Row],[Budget]]</f>
        <v>-32852.820000000007</v>
      </c>
      <c r="O418" s="10">
        <f>(financials[[#This Row],[Sales]]-financials[[#This Row],[Budget]])/financials[[#This Row],[Budget]]</f>
        <v>-9.9099099099099114E-2</v>
      </c>
      <c r="P418" s="6">
        <v>41791</v>
      </c>
      <c r="Q418" s="8">
        <v>6</v>
      </c>
      <c r="R418" s="5" t="s">
        <v>26</v>
      </c>
      <c r="S418" s="7" t="s">
        <v>15</v>
      </c>
    </row>
    <row r="419" spans="1:19" x14ac:dyDescent="0.25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1">
        <v>16078.607999999998</v>
      </c>
      <c r="N419" s="1">
        <f>financials[[#This Row],[Sales]]-financials[[#This Row],[Budget]]</f>
        <v>669.94200000000092</v>
      </c>
      <c r="O419" s="10">
        <f>(financials[[#This Row],[Sales]]-financials[[#This Row],[Budget]])/financials[[#This Row],[Budget]]</f>
        <v>4.1666666666666727E-2</v>
      </c>
      <c r="P419" s="6">
        <v>41913</v>
      </c>
      <c r="Q419" s="8">
        <v>10</v>
      </c>
      <c r="R419" s="5" t="s">
        <v>30</v>
      </c>
      <c r="S419" s="7" t="s">
        <v>15</v>
      </c>
    </row>
    <row r="420" spans="1:19" x14ac:dyDescent="0.25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1">
        <v>4047.7163999999998</v>
      </c>
      <c r="N420" s="1">
        <f>financials[[#This Row],[Sales]]-financials[[#This Row],[Budget]]</f>
        <v>-40.076399999999921</v>
      </c>
      <c r="O420" s="10">
        <f>(financials[[#This Row],[Sales]]-financials[[#This Row],[Budget]])/financials[[#This Row],[Budget]]</f>
        <v>-9.900990099009882E-3</v>
      </c>
      <c r="P420" s="6">
        <v>41548</v>
      </c>
      <c r="Q420" s="8">
        <v>10</v>
      </c>
      <c r="R420" s="5" t="s">
        <v>30</v>
      </c>
      <c r="S420" s="7" t="s">
        <v>14</v>
      </c>
    </row>
    <row r="421" spans="1:19" x14ac:dyDescent="0.25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1">
        <v>404826.24000000005</v>
      </c>
      <c r="N421" s="1">
        <f>financials[[#This Row],[Sales]]-financials[[#This Row],[Budget]]</f>
        <v>-43374.240000000049</v>
      </c>
      <c r="O421" s="10">
        <f>(financials[[#This Row],[Sales]]-financials[[#This Row],[Budget]])/financials[[#This Row],[Budget]]</f>
        <v>-0.10714285714285725</v>
      </c>
      <c r="P421" s="6">
        <v>41944</v>
      </c>
      <c r="Q421" s="8">
        <v>11</v>
      </c>
      <c r="R421" s="5" t="s">
        <v>31</v>
      </c>
      <c r="S421" s="7" t="s">
        <v>15</v>
      </c>
    </row>
    <row r="422" spans="1:19" x14ac:dyDescent="0.25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1">
        <v>17832.36</v>
      </c>
      <c r="N422" s="1">
        <f>financials[[#This Row],[Sales]]-financials[[#This Row],[Budget]]</f>
        <v>1550.6399999999994</v>
      </c>
      <c r="O422" s="10">
        <f>(financials[[#This Row],[Sales]]-financials[[#This Row],[Budget]])/financials[[#This Row],[Budget]]</f>
        <v>8.6956521739130405E-2</v>
      </c>
      <c r="P422" s="6">
        <v>41579</v>
      </c>
      <c r="Q422" s="8">
        <v>11</v>
      </c>
      <c r="R422" s="5" t="s">
        <v>31</v>
      </c>
      <c r="S422" s="7" t="s">
        <v>14</v>
      </c>
    </row>
    <row r="423" spans="1:19" x14ac:dyDescent="0.25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1">
        <v>356337.80000000005</v>
      </c>
      <c r="N423" s="1">
        <f>financials[[#This Row],[Sales]]-financials[[#This Row],[Budget]]</f>
        <v>-38179.050000000047</v>
      </c>
      <c r="O423" s="10">
        <f>(financials[[#This Row],[Sales]]-financials[[#This Row],[Budget]])/financials[[#This Row],[Budget]]</f>
        <v>-0.10714285714285726</v>
      </c>
      <c r="P423" s="6">
        <v>41974</v>
      </c>
      <c r="Q423" s="8">
        <v>12</v>
      </c>
      <c r="R423" s="5" t="s">
        <v>32</v>
      </c>
      <c r="S423" s="7" t="s">
        <v>15</v>
      </c>
    </row>
    <row r="424" spans="1:19" x14ac:dyDescent="0.25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1">
        <v>3678.6750000000002</v>
      </c>
      <c r="N424" s="1">
        <f>financials[[#This Row],[Sales]]-financials[[#This Row],[Budget]]</f>
        <v>-334.42500000000018</v>
      </c>
      <c r="O424" s="10">
        <f>(financials[[#This Row],[Sales]]-financials[[#This Row],[Budget]])/financials[[#This Row],[Budget]]</f>
        <v>-9.0909090909090953E-2</v>
      </c>
      <c r="P424" s="6">
        <v>41760</v>
      </c>
      <c r="Q424" s="8">
        <v>5</v>
      </c>
      <c r="R424" s="5" t="s">
        <v>25</v>
      </c>
      <c r="S424" s="7" t="s">
        <v>15</v>
      </c>
    </row>
    <row r="425" spans="1:19" x14ac:dyDescent="0.25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1">
        <v>932062.95000000007</v>
      </c>
      <c r="N425" s="1">
        <f>financials[[#This Row],[Sales]]-financials[[#This Row],[Budget]]</f>
        <v>103562.54999999993</v>
      </c>
      <c r="O425" s="10">
        <f>(financials[[#This Row],[Sales]]-financials[[#This Row],[Budget]])/financials[[#This Row],[Budget]]</f>
        <v>0.11111111111111102</v>
      </c>
      <c r="P425" s="6">
        <v>41821</v>
      </c>
      <c r="Q425" s="8">
        <v>7</v>
      </c>
      <c r="R425" s="5" t="s">
        <v>27</v>
      </c>
      <c r="S425" s="7" t="s">
        <v>15</v>
      </c>
    </row>
    <row r="426" spans="1:19" x14ac:dyDescent="0.25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1">
        <v>403791.11499999999</v>
      </c>
      <c r="N426" s="1">
        <f>financials[[#This Row],[Sales]]-financials[[#This Row],[Budget]]</f>
        <v>12488.385000000009</v>
      </c>
      <c r="O426" s="10">
        <f>(financials[[#This Row],[Sales]]-financials[[#This Row],[Budget]])/financials[[#This Row],[Budget]]</f>
        <v>3.0927835051546417E-2</v>
      </c>
      <c r="P426" s="6">
        <v>41821</v>
      </c>
      <c r="Q426" s="8">
        <v>7</v>
      </c>
      <c r="R426" s="5" t="s">
        <v>27</v>
      </c>
      <c r="S426" s="7" t="s">
        <v>15</v>
      </c>
    </row>
    <row r="427" spans="1:19" x14ac:dyDescent="0.25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1">
        <v>68366.025000000009</v>
      </c>
      <c r="N427" s="1">
        <f>financials[[#This Row],[Sales]]-financials[[#This Row],[Budget]]</f>
        <v>-3869.7750000000087</v>
      </c>
      <c r="O427" s="10">
        <f>(financials[[#This Row],[Sales]]-financials[[#This Row],[Budget]])/financials[[#This Row],[Budget]]</f>
        <v>-5.660377358490578E-2</v>
      </c>
      <c r="P427" s="6">
        <v>41883</v>
      </c>
      <c r="Q427" s="8">
        <v>9</v>
      </c>
      <c r="R427" s="5" t="s">
        <v>29</v>
      </c>
      <c r="S427" s="7" t="s">
        <v>15</v>
      </c>
    </row>
    <row r="428" spans="1:19" x14ac:dyDescent="0.25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1">
        <v>206410.75</v>
      </c>
      <c r="N428" s="1">
        <f>financials[[#This Row],[Sales]]-financials[[#This Row],[Budget]]</f>
        <v>33601.75</v>
      </c>
      <c r="O428" s="10">
        <f>(financials[[#This Row],[Sales]]-financials[[#This Row],[Budget]])/financials[[#This Row],[Budget]]</f>
        <v>0.16279069767441862</v>
      </c>
      <c r="P428" s="6">
        <v>41883</v>
      </c>
      <c r="Q428" s="8">
        <v>9</v>
      </c>
      <c r="R428" s="5" t="s">
        <v>29</v>
      </c>
      <c r="S428" s="7" t="s">
        <v>15</v>
      </c>
    </row>
    <row r="429" spans="1:19" x14ac:dyDescent="0.25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1">
        <v>428427.09</v>
      </c>
      <c r="N429" s="1">
        <f>financials[[#This Row],[Sales]]-financials[[#This Row],[Budget]]</f>
        <v>-24250.590000000026</v>
      </c>
      <c r="O429" s="10">
        <f>(financials[[#This Row],[Sales]]-financials[[#This Row],[Budget]])/financials[[#This Row],[Budget]]</f>
        <v>-5.6603773584905717E-2</v>
      </c>
      <c r="P429" s="6">
        <v>41913</v>
      </c>
      <c r="Q429" s="8">
        <v>10</v>
      </c>
      <c r="R429" s="5" t="s">
        <v>30</v>
      </c>
      <c r="S429" s="7" t="s">
        <v>15</v>
      </c>
    </row>
    <row r="430" spans="1:19" x14ac:dyDescent="0.25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1">
        <v>19009.9728</v>
      </c>
      <c r="N430" s="1">
        <f>financials[[#This Row],[Sales]]-financials[[#This Row],[Budget]]</f>
        <v>2349.5472000000009</v>
      </c>
      <c r="O430" s="10">
        <f>(financials[[#This Row],[Sales]]-financials[[#This Row],[Budget]])/financials[[#This Row],[Budget]]</f>
        <v>0.12359550561797758</v>
      </c>
      <c r="P430" s="6">
        <v>41640</v>
      </c>
      <c r="Q430" s="8">
        <v>1</v>
      </c>
      <c r="R430" s="5" t="s">
        <v>21</v>
      </c>
      <c r="S430" s="7" t="s">
        <v>15</v>
      </c>
    </row>
    <row r="431" spans="1:19" x14ac:dyDescent="0.25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1">
        <v>617020.94999999995</v>
      </c>
      <c r="N431" s="1">
        <f>financials[[#This Row],[Sales]]-financials[[#This Row],[Budget]]</f>
        <v>108886.05000000005</v>
      </c>
      <c r="O431" s="10">
        <f>(financials[[#This Row],[Sales]]-financials[[#This Row],[Budget]])/financials[[#This Row],[Budget]]</f>
        <v>0.17647058823529421</v>
      </c>
      <c r="P431" s="6">
        <v>41671</v>
      </c>
      <c r="Q431" s="8">
        <v>2</v>
      </c>
      <c r="R431" s="5" t="s">
        <v>22</v>
      </c>
      <c r="S431" s="7" t="s">
        <v>15</v>
      </c>
    </row>
    <row r="432" spans="1:19" x14ac:dyDescent="0.25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1">
        <v>378798.42</v>
      </c>
      <c r="N432" s="1">
        <f>financials[[#This Row],[Sales]]-financials[[#This Row],[Budget]]</f>
        <v>51654.330000000016</v>
      </c>
      <c r="O432" s="10">
        <f>(financials[[#This Row],[Sales]]-financials[[#This Row],[Budget]])/financials[[#This Row],[Budget]]</f>
        <v>0.13636363636363641</v>
      </c>
      <c r="P432" s="6">
        <v>41730</v>
      </c>
      <c r="Q432" s="8">
        <v>4</v>
      </c>
      <c r="R432" s="5" t="s">
        <v>24</v>
      </c>
      <c r="S432" s="7" t="s">
        <v>15</v>
      </c>
    </row>
    <row r="433" spans="1:19" x14ac:dyDescent="0.25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1">
        <v>9033.0239999999994</v>
      </c>
      <c r="N433" s="1">
        <f>financials[[#This Row],[Sales]]-financials[[#This Row],[Budget]]</f>
        <v>576.57600000000093</v>
      </c>
      <c r="O433" s="10">
        <f>(financials[[#This Row],[Sales]]-financials[[#This Row],[Budget]])/financials[[#This Row],[Budget]]</f>
        <v>6.3829787234042659E-2</v>
      </c>
      <c r="P433" s="6">
        <v>41760</v>
      </c>
      <c r="Q433" s="8">
        <v>5</v>
      </c>
      <c r="R433" s="5" t="s">
        <v>25</v>
      </c>
      <c r="S433" s="7" t="s">
        <v>15</v>
      </c>
    </row>
    <row r="434" spans="1:19" x14ac:dyDescent="0.25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1">
        <v>479109.54</v>
      </c>
      <c r="N434" s="1">
        <f>financials[[#This Row],[Sales]]-financials[[#This Row],[Budget]]</f>
        <v>30581.460000000021</v>
      </c>
      <c r="O434" s="10">
        <f>(financials[[#This Row],[Sales]]-financials[[#This Row],[Budget]])/financials[[#This Row],[Budget]]</f>
        <v>6.3829787234042604E-2</v>
      </c>
      <c r="P434" s="6">
        <v>41883</v>
      </c>
      <c r="Q434" s="8">
        <v>9</v>
      </c>
      <c r="R434" s="5" t="s">
        <v>29</v>
      </c>
      <c r="S434" s="7" t="s">
        <v>15</v>
      </c>
    </row>
    <row r="435" spans="1:19" x14ac:dyDescent="0.25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1">
        <v>23907.374399999997</v>
      </c>
      <c r="N435" s="1">
        <f>financials[[#This Row],[Sales]]-financials[[#This Row],[Budget]]</f>
        <v>487.90560000000187</v>
      </c>
      <c r="O435" s="10">
        <f>(financials[[#This Row],[Sales]]-financials[[#This Row],[Budget]])/financials[[#This Row],[Budget]]</f>
        <v>2.0408163265306204E-2</v>
      </c>
      <c r="P435" s="6">
        <v>41518</v>
      </c>
      <c r="Q435" s="8">
        <v>9</v>
      </c>
      <c r="R435" s="5" t="s">
        <v>29</v>
      </c>
      <c r="S435" s="7" t="s">
        <v>14</v>
      </c>
    </row>
    <row r="436" spans="1:19" x14ac:dyDescent="0.25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1">
        <v>18088.434000000001</v>
      </c>
      <c r="N436" s="1">
        <f>financials[[#This Row],[Sales]]-financials[[#This Row],[Budget]]</f>
        <v>-1339.8840000000018</v>
      </c>
      <c r="O436" s="10">
        <f>(financials[[#This Row],[Sales]]-financials[[#This Row],[Budget]])/financials[[#This Row],[Budget]]</f>
        <v>-7.4074074074074167E-2</v>
      </c>
      <c r="P436" s="6">
        <v>41913</v>
      </c>
      <c r="Q436" s="8">
        <v>10</v>
      </c>
      <c r="R436" s="5" t="s">
        <v>30</v>
      </c>
      <c r="S436" s="7" t="s">
        <v>15</v>
      </c>
    </row>
    <row r="437" spans="1:19" x14ac:dyDescent="0.25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1">
        <v>96765.987500000003</v>
      </c>
      <c r="N437" s="1">
        <f>financials[[#This Row],[Sales]]-financials[[#This Row],[Budget]]</f>
        <v>2992.7624999999971</v>
      </c>
      <c r="O437" s="10">
        <f>(financials[[#This Row],[Sales]]-financials[[#This Row],[Budget]])/financials[[#This Row],[Budget]]</f>
        <v>3.0927835051546362E-2</v>
      </c>
      <c r="P437" s="6">
        <v>41944</v>
      </c>
      <c r="Q437" s="8">
        <v>11</v>
      </c>
      <c r="R437" s="5" t="s">
        <v>31</v>
      </c>
      <c r="S437" s="7" t="s">
        <v>15</v>
      </c>
    </row>
    <row r="438" spans="1:19" x14ac:dyDescent="0.25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1">
        <v>679401.90500000003</v>
      </c>
      <c r="N438" s="1">
        <f>financials[[#This Row],[Sales]]-financials[[#This Row],[Budget]]</f>
        <v>-19788.405000000028</v>
      </c>
      <c r="O438" s="10">
        <f>(financials[[#This Row],[Sales]]-financials[[#This Row],[Budget]])/financials[[#This Row],[Budget]]</f>
        <v>-2.9126213592233049E-2</v>
      </c>
      <c r="P438" s="6">
        <v>41883</v>
      </c>
      <c r="Q438" s="8">
        <v>9</v>
      </c>
      <c r="R438" s="5" t="s">
        <v>29</v>
      </c>
      <c r="S438" s="7" t="s">
        <v>15</v>
      </c>
    </row>
    <row r="439" spans="1:19" x14ac:dyDescent="0.25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1">
        <v>412260.03</v>
      </c>
      <c r="N439" s="1">
        <f>financials[[#This Row],[Sales]]-financials[[#This Row],[Budget]]</f>
        <v>-8083.5300000000279</v>
      </c>
      <c r="O439" s="10">
        <f>(financials[[#This Row],[Sales]]-financials[[#This Row],[Budget]])/financials[[#This Row],[Budget]]</f>
        <v>-1.9607843137254968E-2</v>
      </c>
      <c r="P439" s="6">
        <v>41913</v>
      </c>
      <c r="Q439" s="8">
        <v>10</v>
      </c>
      <c r="R439" s="5" t="s">
        <v>30</v>
      </c>
      <c r="S439" s="7" t="s">
        <v>15</v>
      </c>
    </row>
    <row r="440" spans="1:19" x14ac:dyDescent="0.25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1">
        <v>14564.550000000001</v>
      </c>
      <c r="N440" s="1">
        <f>financials[[#This Row],[Sales]]-financials[[#This Row],[Budget]]</f>
        <v>-1324.0500000000011</v>
      </c>
      <c r="O440" s="10">
        <f>(financials[[#This Row],[Sales]]-financials[[#This Row],[Budget]])/financials[[#This Row],[Budget]]</f>
        <v>-9.0909090909090981E-2</v>
      </c>
      <c r="P440" s="6">
        <v>41579</v>
      </c>
      <c r="Q440" s="8">
        <v>11</v>
      </c>
      <c r="R440" s="5" t="s">
        <v>31</v>
      </c>
      <c r="S440" s="7" t="s">
        <v>14</v>
      </c>
    </row>
    <row r="441" spans="1:19" x14ac:dyDescent="0.25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1">
        <v>34222.188000000002</v>
      </c>
      <c r="N441" s="1">
        <f>financials[[#This Row],[Sales]]-financials[[#This Row],[Budget]]</f>
        <v>-3391.3880000000026</v>
      </c>
      <c r="O441" s="10">
        <f>(financials[[#This Row],[Sales]]-financials[[#This Row],[Budget]])/financials[[#This Row],[Budget]]</f>
        <v>-9.9099099099099169E-2</v>
      </c>
      <c r="P441" s="6">
        <v>41944</v>
      </c>
      <c r="Q441" s="8">
        <v>11</v>
      </c>
      <c r="R441" s="5" t="s">
        <v>31</v>
      </c>
      <c r="S441" s="7" t="s">
        <v>15</v>
      </c>
    </row>
    <row r="442" spans="1:19" x14ac:dyDescent="0.25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1">
        <v>13514.592000000002</v>
      </c>
      <c r="N442" s="1">
        <f>financials[[#This Row],[Sales]]-financials[[#This Row],[Budget]]</f>
        <v>-1447.992000000002</v>
      </c>
      <c r="O442" s="10">
        <f>(financials[[#This Row],[Sales]]-financials[[#This Row],[Budget]])/financials[[#This Row],[Budget]]</f>
        <v>-0.10714285714285728</v>
      </c>
      <c r="P442" s="6">
        <v>41760</v>
      </c>
      <c r="Q442" s="8">
        <v>5</v>
      </c>
      <c r="R442" s="5" t="s">
        <v>25</v>
      </c>
      <c r="S442" s="7" t="s">
        <v>15</v>
      </c>
    </row>
    <row r="443" spans="1:19" x14ac:dyDescent="0.25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1">
        <v>5738.7330000000002</v>
      </c>
      <c r="N443" s="1">
        <f>financials[[#This Row],[Sales]]-financials[[#This Row],[Budget]]</f>
        <v>-521.70300000000043</v>
      </c>
      <c r="O443" s="10">
        <f>(financials[[#This Row],[Sales]]-financials[[#This Row],[Budget]])/financials[[#This Row],[Budget]]</f>
        <v>-9.0909090909090981E-2</v>
      </c>
      <c r="P443" s="6">
        <v>41821</v>
      </c>
      <c r="Q443" s="8">
        <v>7</v>
      </c>
      <c r="R443" s="5" t="s">
        <v>27</v>
      </c>
      <c r="S443" s="7" t="s">
        <v>15</v>
      </c>
    </row>
    <row r="444" spans="1:19" x14ac:dyDescent="0.25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1">
        <v>19324.031999999999</v>
      </c>
      <c r="N444" s="1">
        <f>financials[[#This Row],[Sales]]-financials[[#This Row],[Budget]]</f>
        <v>-2070.4320000000007</v>
      </c>
      <c r="O444" s="10">
        <f>(financials[[#This Row],[Sales]]-financials[[#This Row],[Budget]])/financials[[#This Row],[Budget]]</f>
        <v>-0.10714285714285718</v>
      </c>
      <c r="P444" s="6">
        <v>41883</v>
      </c>
      <c r="Q444" s="8">
        <v>9</v>
      </c>
      <c r="R444" s="5" t="s">
        <v>29</v>
      </c>
      <c r="S444" s="7" t="s">
        <v>15</v>
      </c>
    </row>
    <row r="445" spans="1:19" x14ac:dyDescent="0.25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1">
        <v>3385.1453999999999</v>
      </c>
      <c r="N445" s="1">
        <f>financials[[#This Row],[Sales]]-financials[[#This Row],[Budget]]</f>
        <v>-66.3753999999999</v>
      </c>
      <c r="O445" s="10">
        <f>(financials[[#This Row],[Sales]]-financials[[#This Row],[Budget]])/financials[[#This Row],[Budget]]</f>
        <v>-1.9607843137254874E-2</v>
      </c>
      <c r="P445" s="6">
        <v>41974</v>
      </c>
      <c r="Q445" s="8">
        <v>12</v>
      </c>
      <c r="R445" s="5" t="s">
        <v>32</v>
      </c>
      <c r="S445" s="7" t="s">
        <v>15</v>
      </c>
    </row>
    <row r="446" spans="1:19" x14ac:dyDescent="0.25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1">
        <v>16468.998</v>
      </c>
      <c r="N446" s="1">
        <f>financials[[#This Row],[Sales]]-financials[[#This Row],[Budget]]</f>
        <v>1239.601999999999</v>
      </c>
      <c r="O446" s="10">
        <f>(financials[[#This Row],[Sales]]-financials[[#This Row],[Budget]])/financials[[#This Row],[Budget]]</f>
        <v>7.5268817204301008E-2</v>
      </c>
      <c r="P446" s="6">
        <v>41699</v>
      </c>
      <c r="Q446" s="8">
        <v>3</v>
      </c>
      <c r="R446" s="5" t="s">
        <v>23</v>
      </c>
      <c r="S446" s="7" t="s">
        <v>15</v>
      </c>
    </row>
    <row r="447" spans="1:19" x14ac:dyDescent="0.25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1">
        <v>21158.592000000001</v>
      </c>
      <c r="N447" s="1">
        <f>financials[[#This Row],[Sales]]-financials[[#This Row],[Budget]]</f>
        <v>-2266.992000000002</v>
      </c>
      <c r="O447" s="10">
        <f>(financials[[#This Row],[Sales]]-financials[[#This Row],[Budget]])/financials[[#This Row],[Budget]]</f>
        <v>-0.10714285714285723</v>
      </c>
      <c r="P447" s="6">
        <v>41791</v>
      </c>
      <c r="Q447" s="8">
        <v>6</v>
      </c>
      <c r="R447" s="5" t="s">
        <v>26</v>
      </c>
      <c r="S447" s="7" t="s">
        <v>15</v>
      </c>
    </row>
    <row r="448" spans="1:19" x14ac:dyDescent="0.25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1">
        <v>2614.2479999999996</v>
      </c>
      <c r="N448" s="1">
        <f>financials[[#This Row],[Sales]]-financials[[#This Row],[Budget]]</f>
        <v>-321.04799999999977</v>
      </c>
      <c r="O448" s="10">
        <f>(financials[[#This Row],[Sales]]-financials[[#This Row],[Budget]])/financials[[#This Row],[Budget]]</f>
        <v>-0.12280701754385959</v>
      </c>
      <c r="P448" s="6">
        <v>41913</v>
      </c>
      <c r="Q448" s="8">
        <v>10</v>
      </c>
      <c r="R448" s="5" t="s">
        <v>30</v>
      </c>
      <c r="S448" s="7" t="s">
        <v>15</v>
      </c>
    </row>
    <row r="449" spans="1:19" x14ac:dyDescent="0.25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1">
        <v>23842.400400000002</v>
      </c>
      <c r="N449" s="1">
        <f>financials[[#This Row],[Sales]]-financials[[#This Row],[Budget]]</f>
        <v>-2362.7604000000028</v>
      </c>
      <c r="O449" s="10">
        <f>(financials[[#This Row],[Sales]]-financials[[#This Row],[Budget]])/financials[[#This Row],[Budget]]</f>
        <v>-9.9099099099099211E-2</v>
      </c>
      <c r="P449" s="6">
        <v>41699</v>
      </c>
      <c r="Q449" s="8">
        <v>3</v>
      </c>
      <c r="R449" s="5" t="s">
        <v>23</v>
      </c>
      <c r="S449" s="7" t="s">
        <v>15</v>
      </c>
    </row>
    <row r="450" spans="1:19" x14ac:dyDescent="0.25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1">
        <v>38024.531999999999</v>
      </c>
      <c r="N450" s="1">
        <f>financials[[#This Row],[Sales]]-financials[[#This Row],[Budget]]</f>
        <v>-2152.3320000000022</v>
      </c>
      <c r="O450" s="10">
        <f>(financials[[#This Row],[Sales]]-financials[[#This Row],[Budget]])/financials[[#This Row],[Budget]]</f>
        <v>-5.6603773584905717E-2</v>
      </c>
      <c r="P450" s="6">
        <v>41730</v>
      </c>
      <c r="Q450" s="8">
        <v>4</v>
      </c>
      <c r="R450" s="5" t="s">
        <v>24</v>
      </c>
      <c r="S450" s="7" t="s">
        <v>15</v>
      </c>
    </row>
    <row r="451" spans="1:19" x14ac:dyDescent="0.25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1">
        <v>2614.2479999999996</v>
      </c>
      <c r="N451" s="1">
        <f>financials[[#This Row],[Sales]]-financials[[#This Row],[Budget]]</f>
        <v>-321.04799999999977</v>
      </c>
      <c r="O451" s="10">
        <f>(financials[[#This Row],[Sales]]-financials[[#This Row],[Budget]])/financials[[#This Row],[Budget]]</f>
        <v>-0.12280701754385959</v>
      </c>
      <c r="P451" s="6">
        <v>41913</v>
      </c>
      <c r="Q451" s="8">
        <v>10</v>
      </c>
      <c r="R451" s="5" t="s">
        <v>30</v>
      </c>
      <c r="S451" s="7" t="s">
        <v>15</v>
      </c>
    </row>
    <row r="452" spans="1:19" x14ac:dyDescent="0.25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1">
        <v>51253.020000000004</v>
      </c>
      <c r="N452" s="1">
        <f>financials[[#This Row],[Sales]]-financials[[#This Row],[Budget]]</f>
        <v>-2440.6200000000026</v>
      </c>
      <c r="O452" s="10">
        <f>(financials[[#This Row],[Sales]]-financials[[#This Row],[Budget]])/financials[[#This Row],[Budget]]</f>
        <v>-4.7619047619047665E-2</v>
      </c>
      <c r="P452" s="6">
        <v>41579</v>
      </c>
      <c r="Q452" s="8">
        <v>11</v>
      </c>
      <c r="R452" s="5" t="s">
        <v>31</v>
      </c>
      <c r="S452" s="7" t="s">
        <v>14</v>
      </c>
    </row>
    <row r="453" spans="1:19" x14ac:dyDescent="0.25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1">
        <v>2820.9544999999998</v>
      </c>
      <c r="N453" s="1">
        <f>financials[[#This Row],[Sales]]-financials[[#This Row],[Budget]]</f>
        <v>497.81550000000016</v>
      </c>
      <c r="O453" s="10">
        <f>(financials[[#This Row],[Sales]]-financials[[#This Row],[Budget]])/financials[[#This Row],[Budget]]</f>
        <v>0.17647058823529418</v>
      </c>
      <c r="P453" s="6">
        <v>41974</v>
      </c>
      <c r="Q453" s="8">
        <v>12</v>
      </c>
      <c r="R453" s="5" t="s">
        <v>32</v>
      </c>
      <c r="S453" s="7" t="s">
        <v>15</v>
      </c>
    </row>
    <row r="454" spans="1:19" x14ac:dyDescent="0.25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1">
        <v>19080.516</v>
      </c>
      <c r="N454" s="1">
        <f>financials[[#This Row],[Sales]]-financials[[#This Row],[Budget]]</f>
        <v>-188.91600000000108</v>
      </c>
      <c r="O454" s="10">
        <f>(financials[[#This Row],[Sales]]-financials[[#This Row],[Budget]])/financials[[#This Row],[Budget]]</f>
        <v>-9.9009900990099584E-3</v>
      </c>
      <c r="P454" s="6">
        <v>41791</v>
      </c>
      <c r="Q454" s="8">
        <v>6</v>
      </c>
      <c r="R454" s="5" t="s">
        <v>26</v>
      </c>
      <c r="S454" s="7" t="s">
        <v>15</v>
      </c>
    </row>
    <row r="455" spans="1:19" x14ac:dyDescent="0.25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1">
        <v>22478.888249999996</v>
      </c>
      <c r="N455" s="1">
        <f>financials[[#This Row],[Sales]]-financials[[#This Row],[Budget]]</f>
        <v>-222.56324999999924</v>
      </c>
      <c r="O455" s="10">
        <f>(financials[[#This Row],[Sales]]-financials[[#This Row],[Budget]])/financials[[#This Row],[Budget]]</f>
        <v>-9.9009900990098682E-3</v>
      </c>
      <c r="P455" s="6">
        <v>41821</v>
      </c>
      <c r="Q455" s="8">
        <v>7</v>
      </c>
      <c r="R455" s="5" t="s">
        <v>27</v>
      </c>
      <c r="S455" s="7" t="s">
        <v>15</v>
      </c>
    </row>
    <row r="456" spans="1:19" x14ac:dyDescent="0.25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1">
        <v>3508.596</v>
      </c>
      <c r="N456" s="1">
        <f>financials[[#This Row],[Sales]]-financials[[#This Row],[Budget]]</f>
        <v>-167.07600000000002</v>
      </c>
      <c r="O456" s="10">
        <f>(financials[[#This Row],[Sales]]-financials[[#This Row],[Budget]])/financials[[#This Row],[Budget]]</f>
        <v>-4.7619047619047623E-2</v>
      </c>
      <c r="P456" s="6">
        <v>41609</v>
      </c>
      <c r="Q456" s="8">
        <v>12</v>
      </c>
      <c r="R456" s="5" t="s">
        <v>32</v>
      </c>
      <c r="S456" s="7" t="s">
        <v>14</v>
      </c>
    </row>
    <row r="457" spans="1:19" x14ac:dyDescent="0.25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1">
        <v>4252.1760000000004</v>
      </c>
      <c r="N457" s="1">
        <f>financials[[#This Row],[Sales]]-financials[[#This Row],[Budget]]</f>
        <v>-83.376000000000204</v>
      </c>
      <c r="O457" s="10">
        <f>(financials[[#This Row],[Sales]]-financials[[#This Row],[Budget]])/financials[[#This Row],[Budget]]</f>
        <v>-1.9607843137254947E-2</v>
      </c>
      <c r="P457" s="6">
        <v>41548</v>
      </c>
      <c r="Q457" s="8">
        <v>10</v>
      </c>
      <c r="R457" s="5" t="s">
        <v>30</v>
      </c>
      <c r="S457" s="7" t="s">
        <v>14</v>
      </c>
    </row>
    <row r="458" spans="1:19" x14ac:dyDescent="0.25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1">
        <v>14079.743999999999</v>
      </c>
      <c r="N458" s="1">
        <f>financials[[#This Row],[Sales]]-financials[[#This Row],[Budget]]</f>
        <v>586.65600000000086</v>
      </c>
      <c r="O458" s="10">
        <f>(financials[[#This Row],[Sales]]-financials[[#This Row],[Budget]])/financials[[#This Row],[Budget]]</f>
        <v>4.1666666666666734E-2</v>
      </c>
      <c r="P458" s="6">
        <v>41883</v>
      </c>
      <c r="Q458" s="8">
        <v>9</v>
      </c>
      <c r="R458" s="5" t="s">
        <v>29</v>
      </c>
      <c r="S458" s="7" t="s">
        <v>15</v>
      </c>
    </row>
    <row r="459" spans="1:19" x14ac:dyDescent="0.25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1">
        <v>3585.1680000000001</v>
      </c>
      <c r="N459" s="1">
        <f>financials[[#This Row],[Sales]]-financials[[#This Row],[Budget]]</f>
        <v>583.63200000000006</v>
      </c>
      <c r="O459" s="10">
        <f>(financials[[#This Row],[Sales]]-financials[[#This Row],[Budget]])/financials[[#This Row],[Budget]]</f>
        <v>0.16279069767441862</v>
      </c>
      <c r="P459" s="6">
        <v>41548</v>
      </c>
      <c r="Q459" s="8">
        <v>10</v>
      </c>
      <c r="R459" s="5" t="s">
        <v>30</v>
      </c>
      <c r="S459" s="7" t="s">
        <v>14</v>
      </c>
    </row>
    <row r="460" spans="1:19" x14ac:dyDescent="0.25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1">
        <v>375990.1875</v>
      </c>
      <c r="N460" s="1">
        <f>financials[[#This Row],[Sales]]-financials[[#This Row],[Budget]]</f>
        <v>11628.5625</v>
      </c>
      <c r="O460" s="10">
        <f>(financials[[#This Row],[Sales]]-financials[[#This Row],[Budget]])/financials[[#This Row],[Budget]]</f>
        <v>3.0927835051546393E-2</v>
      </c>
      <c r="P460" s="6">
        <v>41730</v>
      </c>
      <c r="Q460" s="8">
        <v>4</v>
      </c>
      <c r="R460" s="5" t="s">
        <v>24</v>
      </c>
      <c r="S460" s="7" t="s">
        <v>15</v>
      </c>
    </row>
    <row r="461" spans="1:19" x14ac:dyDescent="0.25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1">
        <v>186732.00000000003</v>
      </c>
      <c r="N461" s="1">
        <f>financials[[#This Row],[Sales]]-financials[[#This Row],[Budget]]</f>
        <v>-20007.000000000029</v>
      </c>
      <c r="O461" s="10">
        <f>(financials[[#This Row],[Sales]]-financials[[#This Row],[Budget]])/financials[[#This Row],[Budget]]</f>
        <v>-0.10714285714285728</v>
      </c>
      <c r="P461" s="6">
        <v>41609</v>
      </c>
      <c r="Q461" s="8">
        <v>12</v>
      </c>
      <c r="R461" s="5" t="s">
        <v>32</v>
      </c>
      <c r="S461" s="7" t="s">
        <v>14</v>
      </c>
    </row>
    <row r="462" spans="1:19" x14ac:dyDescent="0.25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1">
        <v>626591.69999999995</v>
      </c>
      <c r="N462" s="1">
        <f>financials[[#This Row],[Sales]]-financials[[#This Row],[Budget]]</f>
        <v>102003.30000000005</v>
      </c>
      <c r="O462" s="10">
        <f>(financials[[#This Row],[Sales]]-financials[[#This Row],[Budget]])/financials[[#This Row],[Budget]]</f>
        <v>0.1627906976744187</v>
      </c>
      <c r="P462" s="6">
        <v>41760</v>
      </c>
      <c r="Q462" s="8">
        <v>5</v>
      </c>
      <c r="R462" s="5" t="s">
        <v>25</v>
      </c>
      <c r="S462" s="7" t="s">
        <v>15</v>
      </c>
    </row>
    <row r="463" spans="1:19" x14ac:dyDescent="0.25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1">
        <v>219186</v>
      </c>
      <c r="N463" s="1">
        <f>financials[[#This Row],[Sales]]-financials[[#This Row],[Budget]]</f>
        <v>-16236</v>
      </c>
      <c r="O463" s="10">
        <f>(financials[[#This Row],[Sales]]-financials[[#This Row],[Budget]])/financials[[#This Row],[Budget]]</f>
        <v>-7.407407407407407E-2</v>
      </c>
      <c r="P463" s="6">
        <v>41579</v>
      </c>
      <c r="Q463" s="8">
        <v>11</v>
      </c>
      <c r="R463" s="5" t="s">
        <v>31</v>
      </c>
      <c r="S463" s="7" t="s">
        <v>14</v>
      </c>
    </row>
    <row r="464" spans="1:19" x14ac:dyDescent="0.25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1">
        <v>26573.399999999998</v>
      </c>
      <c r="N464" s="1">
        <f>financials[[#This Row],[Sales]]-financials[[#This Row],[Budget]]</f>
        <v>1398.6000000000022</v>
      </c>
      <c r="O464" s="10">
        <f>(financials[[#This Row],[Sales]]-financials[[#This Row],[Budget]])/financials[[#This Row],[Budget]]</f>
        <v>5.2631578947368508E-2</v>
      </c>
      <c r="P464" s="6">
        <v>41974</v>
      </c>
      <c r="Q464" s="8">
        <v>12</v>
      </c>
      <c r="R464" s="5" t="s">
        <v>32</v>
      </c>
      <c r="S464" s="7" t="s">
        <v>15</v>
      </c>
    </row>
    <row r="465" spans="1:19" x14ac:dyDescent="0.25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1">
        <v>33413.4</v>
      </c>
      <c r="N465" s="1">
        <f>financials[[#This Row],[Sales]]-financials[[#This Row],[Budget]]</f>
        <v>1758.5999999999985</v>
      </c>
      <c r="O465" s="10">
        <f>(financials[[#This Row],[Sales]]-financials[[#This Row],[Budget]])/financials[[#This Row],[Budget]]</f>
        <v>5.2631578947368376E-2</v>
      </c>
      <c r="P465" s="6">
        <v>41699</v>
      </c>
      <c r="Q465" s="8">
        <v>3</v>
      </c>
      <c r="R465" s="5" t="s">
        <v>23</v>
      </c>
      <c r="S465" s="7" t="s">
        <v>15</v>
      </c>
    </row>
    <row r="466" spans="1:19" x14ac:dyDescent="0.25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1">
        <v>156378.6</v>
      </c>
      <c r="N466" s="1">
        <f>financials[[#This Row],[Sales]]-financials[[#This Row],[Budget]]</f>
        <v>3191.3999999999942</v>
      </c>
      <c r="O466" s="10">
        <f>(financials[[#This Row],[Sales]]-financials[[#This Row],[Budget]])/financials[[#This Row],[Budget]]</f>
        <v>2.0408163265306086E-2</v>
      </c>
      <c r="P466" s="6">
        <v>41760</v>
      </c>
      <c r="Q466" s="8">
        <v>5</v>
      </c>
      <c r="R466" s="5" t="s">
        <v>25</v>
      </c>
      <c r="S466" s="7" t="s">
        <v>15</v>
      </c>
    </row>
    <row r="467" spans="1:19" x14ac:dyDescent="0.25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1">
        <v>28669.41</v>
      </c>
      <c r="N467" s="1">
        <f>financials[[#This Row],[Sales]]-financials[[#This Row],[Budget]]</f>
        <v>585.09000000000015</v>
      </c>
      <c r="O467" s="10">
        <f>(financials[[#This Row],[Sales]]-financials[[#This Row],[Budget]])/financials[[#This Row],[Budget]]</f>
        <v>2.0408163265306128E-2</v>
      </c>
      <c r="P467" s="6">
        <v>41548</v>
      </c>
      <c r="Q467" s="8">
        <v>10</v>
      </c>
      <c r="R467" s="5" t="s">
        <v>30</v>
      </c>
      <c r="S467" s="7" t="s">
        <v>14</v>
      </c>
    </row>
    <row r="468" spans="1:19" x14ac:dyDescent="0.25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1">
        <v>4381.38</v>
      </c>
      <c r="N468" s="1">
        <f>financials[[#This Row],[Sales]]-financials[[#This Row],[Budget]]</f>
        <v>-43.380000000000109</v>
      </c>
      <c r="O468" s="10">
        <f>(financials[[#This Row],[Sales]]-financials[[#This Row],[Budget]])/financials[[#This Row],[Budget]]</f>
        <v>-9.9009900990099254E-3</v>
      </c>
      <c r="P468" s="6">
        <v>41913</v>
      </c>
      <c r="Q468" s="8">
        <v>10</v>
      </c>
      <c r="R468" s="5" t="s">
        <v>30</v>
      </c>
      <c r="S468" s="7" t="s">
        <v>15</v>
      </c>
    </row>
    <row r="469" spans="1:19" x14ac:dyDescent="0.25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1">
        <v>9928.9800000000014</v>
      </c>
      <c r="N469" s="1">
        <f>financials[[#This Row],[Sales]]-financials[[#This Row],[Budget]]</f>
        <v>-735.48000000000138</v>
      </c>
      <c r="O469" s="10">
        <f>(financials[[#This Row],[Sales]]-financials[[#This Row],[Budget]])/financials[[#This Row],[Budget]]</f>
        <v>-7.4074074074074209E-2</v>
      </c>
      <c r="P469" s="6">
        <v>41640</v>
      </c>
      <c r="Q469" s="8">
        <v>1</v>
      </c>
      <c r="R469" s="5" t="s">
        <v>21</v>
      </c>
      <c r="S469" s="7" t="s">
        <v>15</v>
      </c>
    </row>
    <row r="470" spans="1:19" x14ac:dyDescent="0.25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1">
        <v>7711.2000000000007</v>
      </c>
      <c r="N470" s="1">
        <f>financials[[#This Row],[Sales]]-financials[[#This Row],[Budget]]</f>
        <v>-826.20000000000073</v>
      </c>
      <c r="O470" s="10">
        <f>(financials[[#This Row],[Sales]]-financials[[#This Row],[Budget]])/financials[[#This Row],[Budget]]</f>
        <v>-0.10714285714285722</v>
      </c>
      <c r="P470" s="6">
        <v>41730</v>
      </c>
      <c r="Q470" s="8">
        <v>4</v>
      </c>
      <c r="R470" s="5" t="s">
        <v>24</v>
      </c>
      <c r="S470" s="7" t="s">
        <v>15</v>
      </c>
    </row>
    <row r="471" spans="1:19" x14ac:dyDescent="0.25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1">
        <v>10131.75</v>
      </c>
      <c r="N471" s="1">
        <f>financials[[#This Row],[Sales]]-financials[[#This Row],[Budget]]</f>
        <v>533.25</v>
      </c>
      <c r="O471" s="10">
        <f>(financials[[#This Row],[Sales]]-financials[[#This Row],[Budget]])/financials[[#This Row],[Budget]]</f>
        <v>5.2631578947368418E-2</v>
      </c>
      <c r="P471" s="6">
        <v>41760</v>
      </c>
      <c r="Q471" s="8">
        <v>5</v>
      </c>
      <c r="R471" s="5" t="s">
        <v>25</v>
      </c>
      <c r="S471" s="7" t="s">
        <v>15</v>
      </c>
    </row>
    <row r="472" spans="1:19" x14ac:dyDescent="0.25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1">
        <v>213362.1</v>
      </c>
      <c r="N472" s="1">
        <f>financials[[#This Row],[Sales]]-financials[[#This Row],[Budget]]</f>
        <v>-12077.100000000006</v>
      </c>
      <c r="O472" s="10">
        <f>(financials[[#This Row],[Sales]]-financials[[#This Row],[Budget]])/financials[[#This Row],[Budget]]</f>
        <v>-5.6603773584905689E-2</v>
      </c>
      <c r="P472" s="6">
        <v>41821</v>
      </c>
      <c r="Q472" s="8">
        <v>7</v>
      </c>
      <c r="R472" s="5" t="s">
        <v>27</v>
      </c>
      <c r="S472" s="7" t="s">
        <v>15</v>
      </c>
    </row>
    <row r="473" spans="1:19" x14ac:dyDescent="0.25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1">
        <v>190323</v>
      </c>
      <c r="N473" s="1">
        <f>financials[[#This Row],[Sales]]-financials[[#This Row],[Budget]]</f>
        <v>-10773</v>
      </c>
      <c r="O473" s="10">
        <f>(financials[[#This Row],[Sales]]-financials[[#This Row],[Budget]])/financials[[#This Row],[Budget]]</f>
        <v>-5.6603773584905662E-2</v>
      </c>
      <c r="P473" s="6">
        <v>41883</v>
      </c>
      <c r="Q473" s="8">
        <v>9</v>
      </c>
      <c r="R473" s="5" t="s">
        <v>29</v>
      </c>
      <c r="S473" s="7" t="s">
        <v>15</v>
      </c>
    </row>
    <row r="474" spans="1:19" x14ac:dyDescent="0.25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1">
        <v>706093.2</v>
      </c>
      <c r="N474" s="1">
        <f>financials[[#This Row],[Sales]]-financials[[#This Row],[Budget]]</f>
        <v>-86713.199999999953</v>
      </c>
      <c r="O474" s="10">
        <f>(financials[[#This Row],[Sales]]-financials[[#This Row],[Budget]])/financials[[#This Row],[Budget]]</f>
        <v>-0.12280701754385959</v>
      </c>
      <c r="P474" s="6">
        <v>41548</v>
      </c>
      <c r="Q474" s="8">
        <v>10</v>
      </c>
      <c r="R474" s="5" t="s">
        <v>30</v>
      </c>
      <c r="S474" s="7" t="s">
        <v>14</v>
      </c>
    </row>
    <row r="475" spans="1:19" x14ac:dyDescent="0.25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1">
        <v>3730.68</v>
      </c>
      <c r="N475" s="1">
        <f>financials[[#This Row],[Sales]]-financials[[#This Row],[Budget]]</f>
        <v>607.32000000000016</v>
      </c>
      <c r="O475" s="10">
        <f>(financials[[#This Row],[Sales]]-financials[[#This Row],[Budget]])/financials[[#This Row],[Budget]]</f>
        <v>0.16279069767441864</v>
      </c>
      <c r="P475" s="6">
        <v>41913</v>
      </c>
      <c r="Q475" s="8">
        <v>10</v>
      </c>
      <c r="R475" s="5" t="s">
        <v>30</v>
      </c>
      <c r="S475" s="7" t="s">
        <v>15</v>
      </c>
    </row>
    <row r="476" spans="1:19" x14ac:dyDescent="0.25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1">
        <v>18132.66</v>
      </c>
      <c r="N476" s="1">
        <f>financials[[#This Row],[Sales]]-financials[[#This Row],[Budget]]</f>
        <v>-1343.1599999999999</v>
      </c>
      <c r="O476" s="10">
        <f>(financials[[#This Row],[Sales]]-financials[[#This Row],[Budget]])/financials[[#This Row],[Budget]]</f>
        <v>-7.407407407407407E-2</v>
      </c>
      <c r="P476" s="6">
        <v>41944</v>
      </c>
      <c r="Q476" s="8">
        <v>11</v>
      </c>
      <c r="R476" s="5" t="s">
        <v>31</v>
      </c>
      <c r="S476" s="7" t="s">
        <v>15</v>
      </c>
    </row>
    <row r="477" spans="1:19" x14ac:dyDescent="0.25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1">
        <v>245726.99999999997</v>
      </c>
      <c r="N477" s="1">
        <f>financials[[#This Row],[Sales]]-financials[[#This Row],[Budget]]</f>
        <v>-30176.999999999971</v>
      </c>
      <c r="O477" s="10">
        <f>(financials[[#This Row],[Sales]]-financials[[#This Row],[Budget]])/financials[[#This Row],[Budget]]</f>
        <v>-0.12280701754385955</v>
      </c>
      <c r="P477" s="6">
        <v>41609</v>
      </c>
      <c r="Q477" s="8">
        <v>12</v>
      </c>
      <c r="R477" s="5" t="s">
        <v>32</v>
      </c>
      <c r="S477" s="7" t="s">
        <v>14</v>
      </c>
    </row>
    <row r="478" spans="1:19" x14ac:dyDescent="0.25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1">
        <v>204975.9</v>
      </c>
      <c r="N478" s="1">
        <f>financials[[#This Row],[Sales]]-financials[[#This Row],[Budget]]</f>
        <v>25334.100000000006</v>
      </c>
      <c r="O478" s="10">
        <f>(financials[[#This Row],[Sales]]-financials[[#This Row],[Budget]])/financials[[#This Row],[Budget]]</f>
        <v>0.12359550561797757</v>
      </c>
      <c r="P478" s="6">
        <v>41974</v>
      </c>
      <c r="Q478" s="8">
        <v>12</v>
      </c>
      <c r="R478" s="5" t="s">
        <v>32</v>
      </c>
      <c r="S478" s="7" t="s">
        <v>15</v>
      </c>
    </row>
    <row r="479" spans="1:19" x14ac:dyDescent="0.25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1">
        <v>34142.625</v>
      </c>
      <c r="N479" s="1">
        <f>financials[[#This Row],[Sales]]-financials[[#This Row],[Budget]]</f>
        <v>4219.875</v>
      </c>
      <c r="O479" s="10">
        <f>(financials[[#This Row],[Sales]]-financials[[#This Row],[Budget]])/financials[[#This Row],[Budget]]</f>
        <v>0.12359550561797752</v>
      </c>
      <c r="P479" s="6">
        <v>41760</v>
      </c>
      <c r="Q479" s="8">
        <v>5</v>
      </c>
      <c r="R479" s="5" t="s">
        <v>25</v>
      </c>
      <c r="S479" s="7" t="s">
        <v>15</v>
      </c>
    </row>
    <row r="480" spans="1:19" x14ac:dyDescent="0.25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1">
        <v>9518.85</v>
      </c>
      <c r="N480" s="1">
        <f>financials[[#This Row],[Sales]]-financials[[#This Row],[Budget]]</f>
        <v>-865.35000000000036</v>
      </c>
      <c r="O480" s="10">
        <f>(financials[[#This Row],[Sales]]-financials[[#This Row],[Budget]])/financials[[#This Row],[Budget]]</f>
        <v>-9.0909090909090939E-2</v>
      </c>
      <c r="P480" s="6">
        <v>41821</v>
      </c>
      <c r="Q480" s="8">
        <v>7</v>
      </c>
      <c r="R480" s="5" t="s">
        <v>27</v>
      </c>
      <c r="S480" s="7" t="s">
        <v>15</v>
      </c>
    </row>
    <row r="481" spans="1:19" x14ac:dyDescent="0.25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1">
        <v>1007993.7</v>
      </c>
      <c r="N481" s="1">
        <f>financials[[#This Row],[Sales]]-financials[[#This Row],[Budget]]</f>
        <v>-123788.69999999995</v>
      </c>
      <c r="O481" s="10">
        <f>(financials[[#This Row],[Sales]]-financials[[#This Row],[Budget]])/financials[[#This Row],[Budget]]</f>
        <v>-0.12280701754385961</v>
      </c>
      <c r="P481" s="6">
        <v>41852</v>
      </c>
      <c r="Q481" s="8">
        <v>8</v>
      </c>
      <c r="R481" s="5" t="s">
        <v>28</v>
      </c>
      <c r="S481" s="7" t="s">
        <v>15</v>
      </c>
    </row>
    <row r="482" spans="1:19" x14ac:dyDescent="0.25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1">
        <v>127137.60000000001</v>
      </c>
      <c r="N482" s="1">
        <f>financials[[#This Row],[Sales]]-financials[[#This Row],[Budget]]</f>
        <v>-10497.600000000006</v>
      </c>
      <c r="O482" s="10">
        <f>(financials[[#This Row],[Sales]]-financials[[#This Row],[Budget]])/financials[[#This Row],[Budget]]</f>
        <v>-8.2568807339449588E-2</v>
      </c>
      <c r="P482" s="6">
        <v>41883</v>
      </c>
      <c r="Q482" s="8">
        <v>9</v>
      </c>
      <c r="R482" s="5" t="s">
        <v>29</v>
      </c>
      <c r="S482" s="7" t="s">
        <v>15</v>
      </c>
    </row>
    <row r="483" spans="1:19" x14ac:dyDescent="0.25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1">
        <v>551248.19999999995</v>
      </c>
      <c r="N483" s="1">
        <f>financials[[#This Row],[Sales]]-financials[[#This Row],[Budget]]</f>
        <v>68131.800000000047</v>
      </c>
      <c r="O483" s="10">
        <f>(financials[[#This Row],[Sales]]-financials[[#This Row],[Budget]])/financials[[#This Row],[Budget]]</f>
        <v>0.12359550561797762</v>
      </c>
      <c r="P483" s="6">
        <v>41548</v>
      </c>
      <c r="Q483" s="8">
        <v>10</v>
      </c>
      <c r="R483" s="5" t="s">
        <v>30</v>
      </c>
      <c r="S483" s="7" t="s">
        <v>14</v>
      </c>
    </row>
    <row r="484" spans="1:19" x14ac:dyDescent="0.25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1">
        <v>33642.674999999996</v>
      </c>
      <c r="N484" s="1">
        <f>financials[[#This Row],[Sales]]-financials[[#This Row],[Budget]]</f>
        <v>-4388.1749999999956</v>
      </c>
      <c r="O484" s="10">
        <f>(financials[[#This Row],[Sales]]-financials[[#This Row],[Budget]])/financials[[#This Row],[Budget]]</f>
        <v>-0.13043478260869554</v>
      </c>
      <c r="P484" s="6">
        <v>41548</v>
      </c>
      <c r="Q484" s="8">
        <v>10</v>
      </c>
      <c r="R484" s="5" t="s">
        <v>30</v>
      </c>
      <c r="S484" s="7" t="s">
        <v>14</v>
      </c>
    </row>
    <row r="485" spans="1:19" x14ac:dyDescent="0.25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1">
        <v>318654.00000000006</v>
      </c>
      <c r="N485" s="1">
        <f>financials[[#This Row],[Sales]]-financials[[#This Row],[Budget]]</f>
        <v>-34141.500000000058</v>
      </c>
      <c r="O485" s="10">
        <f>(financials[[#This Row],[Sales]]-financials[[#This Row],[Budget]])/financials[[#This Row],[Budget]]</f>
        <v>-0.1071428571428573</v>
      </c>
      <c r="P485" s="6">
        <v>41944</v>
      </c>
      <c r="Q485" s="8">
        <v>11</v>
      </c>
      <c r="R485" s="5" t="s">
        <v>31</v>
      </c>
      <c r="S485" s="7" t="s">
        <v>15</v>
      </c>
    </row>
    <row r="486" spans="1:19" x14ac:dyDescent="0.25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1">
        <v>536035.5</v>
      </c>
      <c r="N486" s="1">
        <f>financials[[#This Row],[Sales]]-financials[[#This Row],[Budget]]</f>
        <v>53014.5</v>
      </c>
      <c r="O486" s="10">
        <f>(financials[[#This Row],[Sales]]-financials[[#This Row],[Budget]])/financials[[#This Row],[Budget]]</f>
        <v>9.8901098901098897E-2</v>
      </c>
      <c r="P486" s="6">
        <v>41609</v>
      </c>
      <c r="Q486" s="8">
        <v>12</v>
      </c>
      <c r="R486" s="5" t="s">
        <v>32</v>
      </c>
      <c r="S486" s="7" t="s">
        <v>14</v>
      </c>
    </row>
    <row r="487" spans="1:19" x14ac:dyDescent="0.25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1">
        <v>72954</v>
      </c>
      <c r="N487" s="1">
        <f>financials[[#This Row],[Sales]]-financials[[#This Row],[Budget]]</f>
        <v>-7816.5</v>
      </c>
      <c r="O487" s="10">
        <f>(financials[[#This Row],[Sales]]-financials[[#This Row],[Budget]])/financials[[#This Row],[Budget]]</f>
        <v>-0.10714285714285714</v>
      </c>
      <c r="P487" s="6">
        <v>41640</v>
      </c>
      <c r="Q487" s="8">
        <v>1</v>
      </c>
      <c r="R487" s="5" t="s">
        <v>21</v>
      </c>
      <c r="S487" s="7" t="s">
        <v>15</v>
      </c>
    </row>
    <row r="488" spans="1:19" x14ac:dyDescent="0.25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1">
        <v>747936</v>
      </c>
      <c r="N488" s="1">
        <f>financials[[#This Row],[Sales]]-financials[[#This Row],[Budget]]</f>
        <v>-42336</v>
      </c>
      <c r="O488" s="10">
        <f>(financials[[#This Row],[Sales]]-financials[[#This Row],[Budget]])/financials[[#This Row],[Budget]]</f>
        <v>-5.6603773584905662E-2</v>
      </c>
      <c r="P488" s="6">
        <v>41671</v>
      </c>
      <c r="Q488" s="8">
        <v>2</v>
      </c>
      <c r="R488" s="5" t="s">
        <v>22</v>
      </c>
      <c r="S488" s="7" t="s">
        <v>15</v>
      </c>
    </row>
    <row r="489" spans="1:19" x14ac:dyDescent="0.25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1">
        <v>872758.8</v>
      </c>
      <c r="N489" s="1">
        <f>financials[[#This Row],[Sales]]-financials[[#This Row],[Budget]]</f>
        <v>-64648.800000000047</v>
      </c>
      <c r="O489" s="10">
        <f>(financials[[#This Row],[Sales]]-financials[[#This Row],[Budget]])/financials[[#This Row],[Budget]]</f>
        <v>-7.4074074074074125E-2</v>
      </c>
      <c r="P489" s="6">
        <v>41699</v>
      </c>
      <c r="Q489" s="8">
        <v>3</v>
      </c>
      <c r="R489" s="5" t="s">
        <v>23</v>
      </c>
      <c r="S489" s="7" t="s">
        <v>15</v>
      </c>
    </row>
    <row r="490" spans="1:19" x14ac:dyDescent="0.25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1">
        <v>33078.617999999995</v>
      </c>
      <c r="N490" s="1">
        <f>financials[[#This Row],[Sales]]-financials[[#This Row],[Budget]]</f>
        <v>4942.7819999999992</v>
      </c>
      <c r="O490" s="10">
        <f>(financials[[#This Row],[Sales]]-financials[[#This Row],[Budget]])/financials[[#This Row],[Budget]]</f>
        <v>0.14942528735632185</v>
      </c>
      <c r="P490" s="6">
        <v>41730</v>
      </c>
      <c r="Q490" s="8">
        <v>4</v>
      </c>
      <c r="R490" s="5" t="s">
        <v>24</v>
      </c>
      <c r="S490" s="7" t="s">
        <v>15</v>
      </c>
    </row>
    <row r="491" spans="1:19" x14ac:dyDescent="0.25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1">
        <v>41840.28</v>
      </c>
      <c r="N491" s="1">
        <f>financials[[#This Row],[Sales]]-financials[[#This Row],[Budget]]</f>
        <v>-5138.2799999999988</v>
      </c>
      <c r="O491" s="10">
        <f>(financials[[#This Row],[Sales]]-financials[[#This Row],[Budget]])/financials[[#This Row],[Budget]]</f>
        <v>-0.12280701754385963</v>
      </c>
      <c r="P491" s="6">
        <v>41760</v>
      </c>
      <c r="Q491" s="8">
        <v>5</v>
      </c>
      <c r="R491" s="5" t="s">
        <v>25</v>
      </c>
      <c r="S491" s="7" t="s">
        <v>15</v>
      </c>
    </row>
    <row r="492" spans="1:19" x14ac:dyDescent="0.25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1">
        <v>27243.216</v>
      </c>
      <c r="N492" s="1">
        <f>financials[[#This Row],[Sales]]-financials[[#This Row],[Budget]]</f>
        <v>555.98400000000038</v>
      </c>
      <c r="O492" s="10">
        <f>(financials[[#This Row],[Sales]]-financials[[#This Row],[Budget]])/financials[[#This Row],[Budget]]</f>
        <v>2.0408163265306135E-2</v>
      </c>
      <c r="P492" s="6">
        <v>41852</v>
      </c>
      <c r="Q492" s="8">
        <v>8</v>
      </c>
      <c r="R492" s="5" t="s">
        <v>28</v>
      </c>
      <c r="S492" s="7" t="s">
        <v>15</v>
      </c>
    </row>
    <row r="493" spans="1:19" x14ac:dyDescent="0.25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1">
        <v>256110.74999999997</v>
      </c>
      <c r="N493" s="1">
        <f>financials[[#This Row],[Sales]]-financials[[#This Row],[Budget]]</f>
        <v>-33405.749999999971</v>
      </c>
      <c r="O493" s="10">
        <f>(financials[[#This Row],[Sales]]-financials[[#This Row],[Budget]])/financials[[#This Row],[Budget]]</f>
        <v>-0.13043478260869557</v>
      </c>
      <c r="P493" s="6">
        <v>41883</v>
      </c>
      <c r="Q493" s="8">
        <v>9</v>
      </c>
      <c r="R493" s="5" t="s">
        <v>29</v>
      </c>
      <c r="S493" s="7" t="s">
        <v>15</v>
      </c>
    </row>
    <row r="494" spans="1:19" x14ac:dyDescent="0.25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1">
        <v>25734.240000000002</v>
      </c>
      <c r="N494" s="1">
        <f>financials[[#This Row],[Sales]]-financials[[#This Row],[Budget]]</f>
        <v>2237.7599999999984</v>
      </c>
      <c r="O494" s="10">
        <f>(financials[[#This Row],[Sales]]-financials[[#This Row],[Budget]])/financials[[#This Row],[Budget]]</f>
        <v>8.6956521739130363E-2</v>
      </c>
      <c r="P494" s="6">
        <v>41974</v>
      </c>
      <c r="Q494" s="8">
        <v>12</v>
      </c>
      <c r="R494" s="5" t="s">
        <v>32</v>
      </c>
      <c r="S494" s="7" t="s">
        <v>15</v>
      </c>
    </row>
    <row r="495" spans="1:19" x14ac:dyDescent="0.25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1">
        <v>198066.6</v>
      </c>
      <c r="N495" s="1">
        <f>financials[[#This Row],[Sales]]-financials[[#This Row],[Budget]]</f>
        <v>32243.399999999994</v>
      </c>
      <c r="O495" s="10">
        <f>(financials[[#This Row],[Sales]]-financials[[#This Row],[Budget]])/financials[[#This Row],[Budget]]</f>
        <v>0.16279069767441856</v>
      </c>
      <c r="P495" s="6">
        <v>41974</v>
      </c>
      <c r="Q495" s="8">
        <v>12</v>
      </c>
      <c r="R495" s="5" t="s">
        <v>32</v>
      </c>
      <c r="S495" s="7" t="s">
        <v>15</v>
      </c>
    </row>
    <row r="496" spans="1:19" x14ac:dyDescent="0.25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1">
        <v>11259.2832</v>
      </c>
      <c r="N496" s="1">
        <f>financials[[#This Row],[Sales]]-financials[[#This Row],[Budget]]</f>
        <v>1535.3567999999996</v>
      </c>
      <c r="O496" s="10">
        <f>(financials[[#This Row],[Sales]]-financials[[#This Row],[Budget]])/financials[[#This Row],[Budget]]</f>
        <v>0.13636363636363633</v>
      </c>
      <c r="P496" s="6">
        <v>41548</v>
      </c>
      <c r="Q496" s="8">
        <v>10</v>
      </c>
      <c r="R496" s="5" t="s">
        <v>30</v>
      </c>
      <c r="S496" s="7" t="s">
        <v>14</v>
      </c>
    </row>
    <row r="497" spans="1:19" x14ac:dyDescent="0.25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1">
        <v>16247.590800000002</v>
      </c>
      <c r="N497" s="1">
        <f>financials[[#This Row],[Sales]]-financials[[#This Row],[Budget]]</f>
        <v>-473.23080000000118</v>
      </c>
      <c r="O497" s="10">
        <f>(financials[[#This Row],[Sales]]-financials[[#This Row],[Budget]])/financials[[#This Row],[Budget]]</f>
        <v>-2.912621359223308E-2</v>
      </c>
      <c r="P497" s="6">
        <v>41730</v>
      </c>
      <c r="Q497" s="8">
        <v>4</v>
      </c>
      <c r="R497" s="5" t="s">
        <v>24</v>
      </c>
      <c r="S497" s="7" t="s">
        <v>15</v>
      </c>
    </row>
    <row r="498" spans="1:19" x14ac:dyDescent="0.25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1">
        <v>11643.1224</v>
      </c>
      <c r="N498" s="1">
        <f>financials[[#This Row],[Sales]]-financials[[#This Row],[Budget]]</f>
        <v>1151.5175999999992</v>
      </c>
      <c r="O498" s="10">
        <f>(financials[[#This Row],[Sales]]-financials[[#This Row],[Budget]])/financials[[#This Row],[Budget]]</f>
        <v>9.8901098901098827E-2</v>
      </c>
      <c r="P498" s="6">
        <v>41548</v>
      </c>
      <c r="Q498" s="8">
        <v>10</v>
      </c>
      <c r="R498" s="5" t="s">
        <v>30</v>
      </c>
      <c r="S498" s="7" t="s">
        <v>14</v>
      </c>
    </row>
    <row r="499" spans="1:19" x14ac:dyDescent="0.25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1">
        <v>5639.04</v>
      </c>
      <c r="N499" s="1">
        <f>financials[[#This Row],[Sales]]-financials[[#This Row],[Budget]]</f>
        <v>-512.64000000000033</v>
      </c>
      <c r="O499" s="10">
        <f>(financials[[#This Row],[Sales]]-financials[[#This Row],[Budget]])/financials[[#This Row],[Budget]]</f>
        <v>-9.0909090909090967E-2</v>
      </c>
      <c r="P499" s="6">
        <v>41640</v>
      </c>
      <c r="Q499" s="8">
        <v>1</v>
      </c>
      <c r="R499" s="5" t="s">
        <v>21</v>
      </c>
      <c r="S499" s="7" t="s">
        <v>15</v>
      </c>
    </row>
    <row r="500" spans="1:19" x14ac:dyDescent="0.25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1">
        <v>5091.3696</v>
      </c>
      <c r="N500" s="1">
        <f>financials[[#This Row],[Sales]]-financials[[#This Row],[Budget]]</f>
        <v>-50.409599999999955</v>
      </c>
      <c r="O500" s="10">
        <f>(financials[[#This Row],[Sales]]-financials[[#This Row],[Budget]])/financials[[#This Row],[Budget]]</f>
        <v>-9.9009900990098924E-3</v>
      </c>
      <c r="P500" s="6">
        <v>41913</v>
      </c>
      <c r="Q500" s="8">
        <v>10</v>
      </c>
      <c r="R500" s="5" t="s">
        <v>30</v>
      </c>
      <c r="S500" s="7" t="s">
        <v>15</v>
      </c>
    </row>
    <row r="501" spans="1:19" x14ac:dyDescent="0.25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1">
        <v>10525.771900000002</v>
      </c>
      <c r="N501" s="1">
        <f>financials[[#This Row],[Sales]]-financials[[#This Row],[Budget]]</f>
        <v>-688.60190000000148</v>
      </c>
      <c r="O501" s="10">
        <f>(financials[[#This Row],[Sales]]-financials[[#This Row],[Budget]])/financials[[#This Row],[Budget]]</f>
        <v>-6.5420560747663684E-2</v>
      </c>
      <c r="P501" s="6">
        <v>41699</v>
      </c>
      <c r="Q501" s="8">
        <v>3</v>
      </c>
      <c r="R501" s="5" t="s">
        <v>23</v>
      </c>
      <c r="S501" s="7" t="s">
        <v>15</v>
      </c>
    </row>
    <row r="502" spans="1:19" x14ac:dyDescent="0.25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1">
        <v>9445.3919999999998</v>
      </c>
      <c r="N502" s="1">
        <f>financials[[#This Row],[Sales]]-financials[[#This Row],[Budget]]</f>
        <v>1288.0079999999998</v>
      </c>
      <c r="O502" s="10">
        <f>(financials[[#This Row],[Sales]]-financials[[#This Row],[Budget]])/financials[[#This Row],[Budget]]</f>
        <v>0.13636363636363635</v>
      </c>
      <c r="P502" s="6">
        <v>41518</v>
      </c>
      <c r="Q502" s="8">
        <v>9</v>
      </c>
      <c r="R502" s="5" t="s">
        <v>29</v>
      </c>
      <c r="S502" s="7" t="s">
        <v>14</v>
      </c>
    </row>
    <row r="503" spans="1:19" x14ac:dyDescent="0.25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1">
        <v>39723.392249999997</v>
      </c>
      <c r="N503" s="1">
        <f>financials[[#This Row],[Sales]]-financials[[#This Row],[Budget]]</f>
        <v>2989.9327499999999</v>
      </c>
      <c r="O503" s="10">
        <f>(financials[[#This Row],[Sales]]-financials[[#This Row],[Budget]])/financials[[#This Row],[Budget]]</f>
        <v>7.5268817204301078E-2</v>
      </c>
      <c r="P503" s="6">
        <v>41821</v>
      </c>
      <c r="Q503" s="8">
        <v>7</v>
      </c>
      <c r="R503" s="5" t="s">
        <v>27</v>
      </c>
      <c r="S503" s="7" t="s">
        <v>15</v>
      </c>
    </row>
    <row r="504" spans="1:19" x14ac:dyDescent="0.25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1">
        <v>4839.3216000000002</v>
      </c>
      <c r="N504" s="1">
        <f>financials[[#This Row],[Sales]]-financials[[#This Row],[Budget]]</f>
        <v>201.63839999999982</v>
      </c>
      <c r="O504" s="10">
        <f>(financials[[#This Row],[Sales]]-financials[[#This Row],[Budget]])/financials[[#This Row],[Budget]]</f>
        <v>4.166666666666663E-2</v>
      </c>
      <c r="P504" s="6">
        <v>41913</v>
      </c>
      <c r="Q504" s="8">
        <v>10</v>
      </c>
      <c r="R504" s="5" t="s">
        <v>30</v>
      </c>
      <c r="S504" s="7" t="s">
        <v>15</v>
      </c>
    </row>
    <row r="505" spans="1:19" x14ac:dyDescent="0.25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1">
        <v>22135.261200000001</v>
      </c>
      <c r="N505" s="1">
        <f>financials[[#This Row],[Sales]]-financials[[#This Row],[Budget]]</f>
        <v>-1448.101200000001</v>
      </c>
      <c r="O505" s="10">
        <f>(financials[[#This Row],[Sales]]-financials[[#This Row],[Budget]])/financials[[#This Row],[Budget]]</f>
        <v>-6.5420560747663586E-2</v>
      </c>
      <c r="P505" s="6">
        <v>41671</v>
      </c>
      <c r="Q505" s="8">
        <v>2</v>
      </c>
      <c r="R505" s="5" t="s">
        <v>22</v>
      </c>
      <c r="S505" s="7" t="s">
        <v>15</v>
      </c>
    </row>
    <row r="506" spans="1:19" x14ac:dyDescent="0.25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1">
        <v>281247.12</v>
      </c>
      <c r="N506" s="1">
        <f>financials[[#This Row],[Sales]]-financials[[#This Row],[Budget]]</f>
        <v>-34539.119999999995</v>
      </c>
      <c r="O506" s="10">
        <f>(financials[[#This Row],[Sales]]-financials[[#This Row],[Budget]])/financials[[#This Row],[Budget]]</f>
        <v>-0.12280701754385963</v>
      </c>
      <c r="P506" s="6">
        <v>41699</v>
      </c>
      <c r="Q506" s="8">
        <v>3</v>
      </c>
      <c r="R506" s="5" t="s">
        <v>23</v>
      </c>
      <c r="S506" s="7" t="s">
        <v>15</v>
      </c>
    </row>
    <row r="507" spans="1:19" x14ac:dyDescent="0.25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1">
        <v>637956.44999999995</v>
      </c>
      <c r="N507" s="1">
        <f>financials[[#This Row],[Sales]]-financials[[#This Row],[Budget]]</f>
        <v>112580.55000000005</v>
      </c>
      <c r="O507" s="10">
        <f>(financials[[#This Row],[Sales]]-financials[[#This Row],[Budget]])/financials[[#This Row],[Budget]]</f>
        <v>0.17647058823529421</v>
      </c>
      <c r="P507" s="6">
        <v>41821</v>
      </c>
      <c r="Q507" s="8">
        <v>7</v>
      </c>
      <c r="R507" s="5" t="s">
        <v>27</v>
      </c>
      <c r="S507" s="7" t="s">
        <v>15</v>
      </c>
    </row>
    <row r="508" spans="1:19" x14ac:dyDescent="0.25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1">
        <v>263414.41249999998</v>
      </c>
      <c r="N508" s="1">
        <f>financials[[#This Row],[Sales]]-financials[[#This Row],[Budget]]</f>
        <v>8146.8375000000233</v>
      </c>
      <c r="O508" s="10">
        <f>(financials[[#This Row],[Sales]]-financials[[#This Row],[Budget]])/financials[[#This Row],[Budget]]</f>
        <v>3.0927835051546483E-2</v>
      </c>
      <c r="P508" s="6">
        <v>41913</v>
      </c>
      <c r="Q508" s="8">
        <v>10</v>
      </c>
      <c r="R508" s="5" t="s">
        <v>30</v>
      </c>
      <c r="S508" s="7" t="s">
        <v>15</v>
      </c>
    </row>
    <row r="509" spans="1:19" x14ac:dyDescent="0.25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1">
        <v>22075.56</v>
      </c>
      <c r="N509" s="1">
        <f>financials[[#This Row],[Sales]]-financials[[#This Row],[Budget]]</f>
        <v>-1249.5600000000013</v>
      </c>
      <c r="O509" s="10">
        <f>(financials[[#This Row],[Sales]]-financials[[#This Row],[Budget]])/financials[[#This Row],[Budget]]</f>
        <v>-5.6603773584905717E-2</v>
      </c>
      <c r="P509" s="6">
        <v>41579</v>
      </c>
      <c r="Q509" s="8">
        <v>11</v>
      </c>
      <c r="R509" s="5" t="s">
        <v>31</v>
      </c>
      <c r="S509" s="7" t="s">
        <v>14</v>
      </c>
    </row>
    <row r="510" spans="1:19" x14ac:dyDescent="0.25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1">
        <v>15172.542000000001</v>
      </c>
      <c r="N510" s="1">
        <f>financials[[#This Row],[Sales]]-financials[[#This Row],[Budget]]</f>
        <v>1685.8379999999997</v>
      </c>
      <c r="O510" s="10">
        <f>(financials[[#This Row],[Sales]]-financials[[#This Row],[Budget]])/financials[[#This Row],[Budget]]</f>
        <v>0.11111111111111109</v>
      </c>
      <c r="P510" s="6">
        <v>41579</v>
      </c>
      <c r="Q510" s="8">
        <v>11</v>
      </c>
      <c r="R510" s="5" t="s">
        <v>31</v>
      </c>
      <c r="S510" s="7" t="s">
        <v>14</v>
      </c>
    </row>
    <row r="511" spans="1:19" x14ac:dyDescent="0.25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1">
        <v>264855.99000000005</v>
      </c>
      <c r="N511" s="1">
        <f>financials[[#This Row],[Sales]]-financials[[#This Row],[Budget]]</f>
        <v>-26246.990000000049</v>
      </c>
      <c r="O511" s="10">
        <f>(financials[[#This Row],[Sales]]-financials[[#This Row],[Budget]])/financials[[#This Row],[Budget]]</f>
        <v>-9.9099099099099267E-2</v>
      </c>
      <c r="P511" s="6">
        <v>41640</v>
      </c>
      <c r="Q511" s="8">
        <v>1</v>
      </c>
      <c r="R511" s="5" t="s">
        <v>21</v>
      </c>
      <c r="S511" s="7" t="s">
        <v>15</v>
      </c>
    </row>
    <row r="512" spans="1:19" x14ac:dyDescent="0.25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1">
        <v>50062.143999999993</v>
      </c>
      <c r="N512" s="1">
        <f>financials[[#This Row],[Sales]]-financials[[#This Row],[Budget]]</f>
        <v>3195.4560000000056</v>
      </c>
      <c r="O512" s="10">
        <f>(financials[[#This Row],[Sales]]-financials[[#This Row],[Budget]])/financials[[#This Row],[Budget]]</f>
        <v>6.3829787234042673E-2</v>
      </c>
      <c r="P512" s="6">
        <v>41548</v>
      </c>
      <c r="Q512" s="8">
        <v>10</v>
      </c>
      <c r="R512" s="5" t="s">
        <v>30</v>
      </c>
      <c r="S512" s="7" t="s">
        <v>14</v>
      </c>
    </row>
    <row r="513" spans="1:19" x14ac:dyDescent="0.25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1">
        <v>33115.342499999999</v>
      </c>
      <c r="N513" s="1">
        <f>financials[[#This Row],[Sales]]-financials[[#This Row],[Budget]]</f>
        <v>-4319.3924999999981</v>
      </c>
      <c r="O513" s="10">
        <f>(financials[[#This Row],[Sales]]-financials[[#This Row],[Budget]])/financials[[#This Row],[Budget]]</f>
        <v>-0.13043478260869559</v>
      </c>
      <c r="P513" s="6">
        <v>41974</v>
      </c>
      <c r="Q513" s="8">
        <v>12</v>
      </c>
      <c r="R513" s="5" t="s">
        <v>32</v>
      </c>
      <c r="S513" s="7" t="s">
        <v>15</v>
      </c>
    </row>
    <row r="514" spans="1:19" x14ac:dyDescent="0.25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1">
        <v>221436.44999999998</v>
      </c>
      <c r="N514" s="1">
        <f>financials[[#This Row],[Sales]]-financials[[#This Row],[Budget]]</f>
        <v>11654.550000000017</v>
      </c>
      <c r="O514" s="10">
        <f>(financials[[#This Row],[Sales]]-financials[[#This Row],[Budget]])/financials[[#This Row],[Budget]]</f>
        <v>5.2631578947368501E-2</v>
      </c>
      <c r="P514" s="6">
        <v>41640</v>
      </c>
      <c r="Q514" s="8">
        <v>1</v>
      </c>
      <c r="R514" s="5" t="s">
        <v>21</v>
      </c>
      <c r="S514" s="7" t="s">
        <v>15</v>
      </c>
    </row>
    <row r="515" spans="1:19" x14ac:dyDescent="0.25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1">
        <v>17175.575999999997</v>
      </c>
      <c r="N515" s="1">
        <f>financials[[#This Row],[Sales]]-financials[[#This Row],[Budget]]</f>
        <v>2796.0240000000013</v>
      </c>
      <c r="O515" s="10">
        <f>(financials[[#This Row],[Sales]]-financials[[#This Row],[Budget]])/financials[[#This Row],[Budget]]</f>
        <v>0.1627906976744187</v>
      </c>
      <c r="P515" s="6">
        <v>41699</v>
      </c>
      <c r="Q515" s="8">
        <v>3</v>
      </c>
      <c r="R515" s="5" t="s">
        <v>23</v>
      </c>
      <c r="S515" s="7" t="s">
        <v>15</v>
      </c>
    </row>
    <row r="516" spans="1:19" x14ac:dyDescent="0.25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1">
        <v>583441.0575</v>
      </c>
      <c r="N516" s="1">
        <f>financials[[#This Row],[Sales]]-financials[[#This Row],[Budget]]</f>
        <v>72110.692500000005</v>
      </c>
      <c r="O516" s="10">
        <f>(financials[[#This Row],[Sales]]-financials[[#This Row],[Budget]])/financials[[#This Row],[Budget]]</f>
        <v>0.12359550561797754</v>
      </c>
      <c r="P516" s="6">
        <v>41821</v>
      </c>
      <c r="Q516" s="8">
        <v>7</v>
      </c>
      <c r="R516" s="5" t="s">
        <v>27</v>
      </c>
      <c r="S516" s="7" t="s">
        <v>15</v>
      </c>
    </row>
    <row r="517" spans="1:19" x14ac:dyDescent="0.25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1">
        <v>43857.633600000001</v>
      </c>
      <c r="N517" s="1">
        <f>financials[[#This Row],[Sales]]-financials[[#This Row],[Budget]]</f>
        <v>-859.95360000000073</v>
      </c>
      <c r="O517" s="10">
        <f>(financials[[#This Row],[Sales]]-financials[[#This Row],[Budget]])/financials[[#This Row],[Budget]]</f>
        <v>-1.9607843137254919E-2</v>
      </c>
      <c r="P517" s="6">
        <v>41821</v>
      </c>
      <c r="Q517" s="8">
        <v>7</v>
      </c>
      <c r="R517" s="5" t="s">
        <v>27</v>
      </c>
      <c r="S517" s="7" t="s">
        <v>15</v>
      </c>
    </row>
    <row r="518" spans="1:19" x14ac:dyDescent="0.25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1">
        <v>26940.513600000006</v>
      </c>
      <c r="N518" s="1">
        <f>financials[[#This Row],[Sales]]-financials[[#This Row],[Budget]]</f>
        <v>-1036.1736000000019</v>
      </c>
      <c r="O518" s="10">
        <f>(financials[[#This Row],[Sales]]-financials[[#This Row],[Budget]])/financials[[#This Row],[Budget]]</f>
        <v>-3.8461538461538526E-2</v>
      </c>
      <c r="P518" s="6">
        <v>41821</v>
      </c>
      <c r="Q518" s="8">
        <v>7</v>
      </c>
      <c r="R518" s="5" t="s">
        <v>27</v>
      </c>
      <c r="S518" s="7" t="s">
        <v>15</v>
      </c>
    </row>
    <row r="519" spans="1:19" x14ac:dyDescent="0.25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1">
        <v>40908.671999999999</v>
      </c>
      <c r="N519" s="1">
        <f>financials[[#This Row],[Sales]]-financials[[#This Row],[Budget]]</f>
        <v>1704.5279999999984</v>
      </c>
      <c r="O519" s="10">
        <f>(financials[[#This Row],[Sales]]-financials[[#This Row],[Budget]])/financials[[#This Row],[Budget]]</f>
        <v>4.166666666666663E-2</v>
      </c>
      <c r="P519" s="6">
        <v>41852</v>
      </c>
      <c r="Q519" s="8">
        <v>8</v>
      </c>
      <c r="R519" s="5" t="s">
        <v>28</v>
      </c>
      <c r="S519" s="7" t="s">
        <v>15</v>
      </c>
    </row>
    <row r="520" spans="1:19" x14ac:dyDescent="0.25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1">
        <v>28870.176000000003</v>
      </c>
      <c r="N520" s="1">
        <f>financials[[#This Row],[Sales]]-financials[[#This Row],[Budget]]</f>
        <v>-2383.7760000000017</v>
      </c>
      <c r="O520" s="10">
        <f>(financials[[#This Row],[Sales]]-financials[[#This Row],[Budget]])/financials[[#This Row],[Budget]]</f>
        <v>-8.2568807339449588E-2</v>
      </c>
      <c r="P520" s="6">
        <v>41852</v>
      </c>
      <c r="Q520" s="8">
        <v>8</v>
      </c>
      <c r="R520" s="5" t="s">
        <v>28</v>
      </c>
      <c r="S520" s="7" t="s">
        <v>15</v>
      </c>
    </row>
    <row r="521" spans="1:19" x14ac:dyDescent="0.25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1">
        <v>285139.3125</v>
      </c>
      <c r="N521" s="1">
        <f>financials[[#This Row],[Sales]]-financials[[#This Row],[Budget]]</f>
        <v>-13578.0625</v>
      </c>
      <c r="O521" s="10">
        <f>(financials[[#This Row],[Sales]]-financials[[#This Row],[Budget]])/financials[[#This Row],[Budget]]</f>
        <v>-4.7619047619047616E-2</v>
      </c>
      <c r="P521" s="6">
        <v>41913</v>
      </c>
      <c r="Q521" s="8">
        <v>10</v>
      </c>
      <c r="R521" s="5" t="s">
        <v>30</v>
      </c>
      <c r="S521" s="7" t="s">
        <v>15</v>
      </c>
    </row>
    <row r="522" spans="1:19" x14ac:dyDescent="0.25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1">
        <v>51127.295999999995</v>
      </c>
      <c r="N522" s="1">
        <f>financials[[#This Row],[Sales]]-financials[[#This Row],[Budget]]</f>
        <v>2130.3040000000037</v>
      </c>
      <c r="O522" s="10">
        <f>(financials[[#This Row],[Sales]]-financials[[#This Row],[Budget]])/financials[[#This Row],[Budget]]</f>
        <v>4.1666666666666741E-2</v>
      </c>
      <c r="P522" s="6">
        <v>41548</v>
      </c>
      <c r="Q522" s="8">
        <v>10</v>
      </c>
      <c r="R522" s="5" t="s">
        <v>30</v>
      </c>
      <c r="S522" s="7" t="s">
        <v>14</v>
      </c>
    </row>
    <row r="523" spans="1:19" x14ac:dyDescent="0.25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1">
        <v>331897.02</v>
      </c>
      <c r="N523" s="1">
        <f>financials[[#This Row],[Sales]]-financials[[#This Row],[Budget]]</f>
        <v>32824.979999999981</v>
      </c>
      <c r="O523" s="10">
        <f>(financials[[#This Row],[Sales]]-financials[[#This Row],[Budget]])/financials[[#This Row],[Budget]]</f>
        <v>9.8901098901098841E-2</v>
      </c>
      <c r="P523" s="6">
        <v>41944</v>
      </c>
      <c r="Q523" s="8">
        <v>11</v>
      </c>
      <c r="R523" s="5" t="s">
        <v>31</v>
      </c>
      <c r="S523" s="7" t="s">
        <v>15</v>
      </c>
    </row>
    <row r="524" spans="1:19" x14ac:dyDescent="0.25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1">
        <v>42938.94</v>
      </c>
      <c r="N524" s="1">
        <f>financials[[#This Row],[Sales]]-financials[[#This Row],[Budget]]</f>
        <v>6990.0599999999977</v>
      </c>
      <c r="O524" s="10">
        <f>(financials[[#This Row],[Sales]]-financials[[#This Row],[Budget]])/financials[[#This Row],[Budget]]</f>
        <v>0.16279069767441853</v>
      </c>
      <c r="P524" s="6">
        <v>41518</v>
      </c>
      <c r="Q524" s="8">
        <v>9</v>
      </c>
      <c r="R524" s="5" t="s">
        <v>29</v>
      </c>
      <c r="S524" s="7" t="s">
        <v>14</v>
      </c>
    </row>
    <row r="525" spans="1:19" x14ac:dyDescent="0.25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1">
        <v>8656.8075000000008</v>
      </c>
      <c r="N525" s="1">
        <f>financials[[#This Row],[Sales]]-financials[[#This Row],[Budget]]</f>
        <v>87.4424999999992</v>
      </c>
      <c r="O525" s="10">
        <f>(financials[[#This Row],[Sales]]-financials[[#This Row],[Budget]])/financials[[#This Row],[Budget]]</f>
        <v>1.0101010101010008E-2</v>
      </c>
      <c r="P525" s="6">
        <v>41518</v>
      </c>
      <c r="Q525" s="8">
        <v>9</v>
      </c>
      <c r="R525" s="5" t="s">
        <v>29</v>
      </c>
      <c r="S525" s="7" t="s">
        <v>14</v>
      </c>
    </row>
    <row r="526" spans="1:19" x14ac:dyDescent="0.25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1">
        <v>107156</v>
      </c>
      <c r="N526" s="1">
        <f>financials[[#This Row],[Sales]]-financials[[#This Row],[Budget]]</f>
        <v>0</v>
      </c>
      <c r="O526" s="10">
        <f>(financials[[#This Row],[Sales]]-financials[[#This Row],[Budget]])/financials[[#This Row],[Budget]]</f>
        <v>0</v>
      </c>
      <c r="P526" s="6">
        <v>41548</v>
      </c>
      <c r="Q526" s="8">
        <v>10</v>
      </c>
      <c r="R526" s="5" t="s">
        <v>30</v>
      </c>
      <c r="S526" s="7" t="s">
        <v>14</v>
      </c>
    </row>
    <row r="527" spans="1:19" x14ac:dyDescent="0.25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1">
        <v>12164.947200000001</v>
      </c>
      <c r="N527" s="1">
        <f>financials[[#This Row],[Sales]]-financials[[#This Row],[Budget]]</f>
        <v>-901.10720000000038</v>
      </c>
      <c r="O527" s="10">
        <f>(financials[[#This Row],[Sales]]-financials[[#This Row],[Budget]])/financials[[#This Row],[Budget]]</f>
        <v>-7.4074074074074098E-2</v>
      </c>
      <c r="P527" s="6">
        <v>41944</v>
      </c>
      <c r="Q527" s="8">
        <v>11</v>
      </c>
      <c r="R527" s="5" t="s">
        <v>31</v>
      </c>
      <c r="S527" s="7" t="s">
        <v>15</v>
      </c>
    </row>
    <row r="528" spans="1:19" x14ac:dyDescent="0.25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1">
        <v>20000.649600000001</v>
      </c>
      <c r="N528" s="1">
        <f>financials[[#This Row],[Sales]]-financials[[#This Row],[Budget]]</f>
        <v>-1481.5296000000017</v>
      </c>
      <c r="O528" s="10">
        <f>(financials[[#This Row],[Sales]]-financials[[#This Row],[Budget]])/financials[[#This Row],[Budget]]</f>
        <v>-7.4074074074074153E-2</v>
      </c>
      <c r="P528" s="6">
        <v>41640</v>
      </c>
      <c r="Q528" s="8">
        <v>1</v>
      </c>
      <c r="R528" s="5" t="s">
        <v>21</v>
      </c>
      <c r="S528" s="7" t="s">
        <v>15</v>
      </c>
    </row>
    <row r="529" spans="1:19" x14ac:dyDescent="0.25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1">
        <v>56701.9</v>
      </c>
      <c r="N529" s="1">
        <f>financials[[#This Row],[Sales]]-financials[[#This Row],[Budget]]</f>
        <v>4930.5999999999985</v>
      </c>
      <c r="O529" s="10">
        <f>(financials[[#This Row],[Sales]]-financials[[#This Row],[Budget]])/financials[[#This Row],[Budget]]</f>
        <v>8.6956521739130405E-2</v>
      </c>
      <c r="P529" s="6">
        <v>41640</v>
      </c>
      <c r="Q529" s="8">
        <v>1</v>
      </c>
      <c r="R529" s="5" t="s">
        <v>21</v>
      </c>
      <c r="S529" s="7" t="s">
        <v>15</v>
      </c>
    </row>
    <row r="530" spans="1:19" x14ac:dyDescent="0.25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1">
        <v>54332.72</v>
      </c>
      <c r="N530" s="1">
        <f>financials[[#This Row],[Sales]]-financials[[#This Row],[Budget]]</f>
        <v>-2089.7200000000012</v>
      </c>
      <c r="O530" s="10">
        <f>(financials[[#This Row],[Sales]]-financials[[#This Row],[Budget]])/financials[[#This Row],[Budget]]</f>
        <v>-3.8461538461538484E-2</v>
      </c>
      <c r="P530" s="6">
        <v>41579</v>
      </c>
      <c r="Q530" s="8">
        <v>11</v>
      </c>
      <c r="R530" s="5" t="s">
        <v>31</v>
      </c>
      <c r="S530" s="7" t="s">
        <v>14</v>
      </c>
    </row>
    <row r="531" spans="1:19" x14ac:dyDescent="0.25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1">
        <v>387316.87500000006</v>
      </c>
      <c r="N531" s="1">
        <f>financials[[#This Row],[Sales]]-financials[[#This Row],[Budget]]</f>
        <v>-35210.625000000058</v>
      </c>
      <c r="O531" s="10">
        <f>(financials[[#This Row],[Sales]]-financials[[#This Row],[Budget]])/financials[[#This Row],[Budget]]</f>
        <v>-9.090909090909105E-2</v>
      </c>
      <c r="P531" s="6">
        <v>41640</v>
      </c>
      <c r="Q531" s="8">
        <v>1</v>
      </c>
      <c r="R531" s="5" t="s">
        <v>21</v>
      </c>
      <c r="S531" s="7" t="s">
        <v>15</v>
      </c>
    </row>
    <row r="532" spans="1:19" x14ac:dyDescent="0.25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1">
        <v>51943.781999999999</v>
      </c>
      <c r="N532" s="1">
        <f>financials[[#This Row],[Sales]]-financials[[#This Row],[Budget]]</f>
        <v>-5147.5820000000022</v>
      </c>
      <c r="O532" s="10">
        <f>(financials[[#This Row],[Sales]]-financials[[#This Row],[Budget]])/financials[[#This Row],[Budget]]</f>
        <v>-9.9099099099099142E-2</v>
      </c>
      <c r="P532" s="6">
        <v>41640</v>
      </c>
      <c r="Q532" s="8">
        <v>1</v>
      </c>
      <c r="R532" s="5" t="s">
        <v>21</v>
      </c>
      <c r="S532" s="7" t="s">
        <v>15</v>
      </c>
    </row>
    <row r="533" spans="1:19" x14ac:dyDescent="0.25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1">
        <v>151450.1875</v>
      </c>
      <c r="N533" s="1">
        <f>financials[[#This Row],[Sales]]-financials[[#This Row],[Budget]]</f>
        <v>7971.0625</v>
      </c>
      <c r="O533" s="10">
        <f>(financials[[#This Row],[Sales]]-financials[[#This Row],[Budget]])/financials[[#This Row],[Budget]]</f>
        <v>5.2631578947368418E-2</v>
      </c>
      <c r="P533" s="6">
        <v>41760</v>
      </c>
      <c r="Q533" s="8">
        <v>5</v>
      </c>
      <c r="R533" s="5" t="s">
        <v>25</v>
      </c>
      <c r="S533" s="7" t="s">
        <v>15</v>
      </c>
    </row>
    <row r="534" spans="1:19" x14ac:dyDescent="0.25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1">
        <v>103246.675</v>
      </c>
      <c r="N534" s="1">
        <f>financials[[#This Row],[Sales]]-financials[[#This Row],[Budget]]</f>
        <v>2107.0749999999971</v>
      </c>
      <c r="O534" s="10">
        <f>(financials[[#This Row],[Sales]]-financials[[#This Row],[Budget]])/financials[[#This Row],[Budget]]</f>
        <v>2.0408163265306093E-2</v>
      </c>
      <c r="P534" s="6">
        <v>41518</v>
      </c>
      <c r="Q534" s="8">
        <v>9</v>
      </c>
      <c r="R534" s="5" t="s">
        <v>29</v>
      </c>
      <c r="S534" s="7" t="s">
        <v>14</v>
      </c>
    </row>
    <row r="535" spans="1:19" x14ac:dyDescent="0.25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1">
        <v>99655.08</v>
      </c>
      <c r="N535" s="1">
        <f>financials[[#This Row],[Sales]]-financials[[#This Row],[Budget]]</f>
        <v>7500.9199999999983</v>
      </c>
      <c r="O535" s="10">
        <f>(financials[[#This Row],[Sales]]-financials[[#This Row],[Budget]])/financials[[#This Row],[Budget]]</f>
        <v>7.526881720430105E-2</v>
      </c>
      <c r="P535" s="6">
        <v>41548</v>
      </c>
      <c r="Q535" s="8">
        <v>10</v>
      </c>
      <c r="R535" s="5" t="s">
        <v>30</v>
      </c>
      <c r="S535" s="7" t="s">
        <v>14</v>
      </c>
    </row>
    <row r="536" spans="1:19" x14ac:dyDescent="0.25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1">
        <v>32539.423499999997</v>
      </c>
      <c r="N536" s="1">
        <f>financials[[#This Row],[Sales]]-financials[[#This Row],[Budget]]</f>
        <v>-3743.4734999999964</v>
      </c>
      <c r="O536" s="10">
        <f>(financials[[#This Row],[Sales]]-financials[[#This Row],[Budget]])/financials[[#This Row],[Budget]]</f>
        <v>-0.11504424778761052</v>
      </c>
      <c r="P536" s="6">
        <v>41974</v>
      </c>
      <c r="Q536" s="8">
        <v>12</v>
      </c>
      <c r="R536" s="5" t="s">
        <v>32</v>
      </c>
      <c r="S536" s="7" t="s">
        <v>15</v>
      </c>
    </row>
    <row r="537" spans="1:19" x14ac:dyDescent="0.25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1">
        <v>2651.4880000000003</v>
      </c>
      <c r="N537" s="1">
        <f>financials[[#This Row],[Sales]]-financials[[#This Row],[Budget]]</f>
        <v>-284.08800000000019</v>
      </c>
      <c r="O537" s="10">
        <f>(financials[[#This Row],[Sales]]-financials[[#This Row],[Budget]])/financials[[#This Row],[Budget]]</f>
        <v>-0.10714285714285721</v>
      </c>
      <c r="P537" s="6">
        <v>41518</v>
      </c>
      <c r="Q537" s="8">
        <v>9</v>
      </c>
      <c r="R537" s="5" t="s">
        <v>29</v>
      </c>
      <c r="S537" s="7" t="s">
        <v>14</v>
      </c>
    </row>
    <row r="538" spans="1:19" x14ac:dyDescent="0.25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1">
        <v>272888</v>
      </c>
      <c r="N538" s="1">
        <f>financials[[#This Row],[Sales]]-financials[[#This Row],[Budget]]</f>
        <v>0</v>
      </c>
      <c r="O538" s="10">
        <f>(financials[[#This Row],[Sales]]-financials[[#This Row],[Budget]])/financials[[#This Row],[Budget]]</f>
        <v>0</v>
      </c>
      <c r="P538" s="6">
        <v>41791</v>
      </c>
      <c r="Q538" s="8">
        <v>6</v>
      </c>
      <c r="R538" s="5" t="s">
        <v>26</v>
      </c>
      <c r="S538" s="7" t="s">
        <v>15</v>
      </c>
    </row>
    <row r="539" spans="1:19" x14ac:dyDescent="0.25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1">
        <v>239184</v>
      </c>
      <c r="N539" s="1">
        <f>financials[[#This Row],[Sales]]-financials[[#This Row],[Budget]]</f>
        <v>26576</v>
      </c>
      <c r="O539" s="10">
        <f>(financials[[#This Row],[Sales]]-financials[[#This Row],[Budget]])/financials[[#This Row],[Budget]]</f>
        <v>0.1111111111111111</v>
      </c>
      <c r="P539" s="6">
        <v>41518</v>
      </c>
      <c r="Q539" s="8">
        <v>9</v>
      </c>
      <c r="R539" s="5" t="s">
        <v>29</v>
      </c>
      <c r="S539" s="7" t="s">
        <v>14</v>
      </c>
    </row>
    <row r="540" spans="1:19" x14ac:dyDescent="0.25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1">
        <v>234788.4</v>
      </c>
      <c r="N540" s="1">
        <f>financials[[#This Row],[Sales]]-financials[[#This Row],[Budget]]</f>
        <v>2371.6000000000058</v>
      </c>
      <c r="O540" s="10">
        <f>(financials[[#This Row],[Sales]]-financials[[#This Row],[Budget]])/financials[[#This Row],[Budget]]</f>
        <v>1.0101010101010126E-2</v>
      </c>
      <c r="P540" s="6">
        <v>41913</v>
      </c>
      <c r="Q540" s="8">
        <v>10</v>
      </c>
      <c r="R540" s="5" t="s">
        <v>30</v>
      </c>
      <c r="S540" s="7" t="s">
        <v>15</v>
      </c>
    </row>
    <row r="541" spans="1:19" x14ac:dyDescent="0.25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1">
        <v>32655.216000000004</v>
      </c>
      <c r="N541" s="1">
        <f>financials[[#This Row],[Sales]]-financials[[#This Row],[Budget]]</f>
        <v>2839.5839999999989</v>
      </c>
      <c r="O541" s="10">
        <f>(financials[[#This Row],[Sales]]-financials[[#This Row],[Budget]])/financials[[#This Row],[Budget]]</f>
        <v>8.6956521739130391E-2</v>
      </c>
      <c r="P541" s="6">
        <v>41944</v>
      </c>
      <c r="Q541" s="8">
        <v>11</v>
      </c>
      <c r="R541" s="5" t="s">
        <v>31</v>
      </c>
      <c r="S541" s="7" t="s">
        <v>15</v>
      </c>
    </row>
    <row r="542" spans="1:19" x14ac:dyDescent="0.25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1">
        <v>10098.131999999998</v>
      </c>
      <c r="N542" s="1">
        <f>financials[[#This Row],[Sales]]-financials[[#This Row],[Budget]]</f>
        <v>-1161.7319999999982</v>
      </c>
      <c r="O542" s="10">
        <f>(financials[[#This Row],[Sales]]-financials[[#This Row],[Budget]])/financials[[#This Row],[Budget]]</f>
        <v>-0.11504424778761047</v>
      </c>
      <c r="P542" s="6">
        <v>41699</v>
      </c>
      <c r="Q542" s="8">
        <v>3</v>
      </c>
      <c r="R542" s="5" t="s">
        <v>23</v>
      </c>
      <c r="S542" s="7" t="s">
        <v>15</v>
      </c>
    </row>
    <row r="543" spans="1:19" x14ac:dyDescent="0.25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1">
        <v>505517.76</v>
      </c>
      <c r="N543" s="1">
        <f>financials[[#This Row],[Sales]]-financials[[#This Row],[Budget]]</f>
        <v>-37445.760000000009</v>
      </c>
      <c r="O543" s="10">
        <f>(financials[[#This Row],[Sales]]-financials[[#This Row],[Budget]])/financials[[#This Row],[Budget]]</f>
        <v>-7.4074074074074098E-2</v>
      </c>
      <c r="P543" s="6">
        <v>41730</v>
      </c>
      <c r="Q543" s="8">
        <v>4</v>
      </c>
      <c r="R543" s="5" t="s">
        <v>24</v>
      </c>
      <c r="S543" s="7" t="s">
        <v>15</v>
      </c>
    </row>
    <row r="544" spans="1:19" x14ac:dyDescent="0.25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1">
        <v>12671.12</v>
      </c>
      <c r="N544" s="1">
        <f>financials[[#This Row],[Sales]]-financials[[#This Row],[Budget]]</f>
        <v>2236.08</v>
      </c>
      <c r="O544" s="10">
        <f>(financials[[#This Row],[Sales]]-financials[[#This Row],[Budget]])/financials[[#This Row],[Budget]]</f>
        <v>0.1764705882352941</v>
      </c>
      <c r="P544" s="6">
        <v>41883</v>
      </c>
      <c r="Q544" s="8">
        <v>9</v>
      </c>
      <c r="R544" s="5" t="s">
        <v>29</v>
      </c>
      <c r="S544" s="7" t="s">
        <v>15</v>
      </c>
    </row>
    <row r="545" spans="1:19" x14ac:dyDescent="0.25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1">
        <v>15662.539199999999</v>
      </c>
      <c r="N545" s="1">
        <f>financials[[#This Row],[Sales]]-financials[[#This Row],[Budget]]</f>
        <v>1178.9007999999994</v>
      </c>
      <c r="O545" s="10">
        <f>(financials[[#This Row],[Sales]]-financials[[#This Row],[Budget]])/financials[[#This Row],[Budget]]</f>
        <v>7.5268817204301036E-2</v>
      </c>
      <c r="P545" s="6">
        <v>41913</v>
      </c>
      <c r="Q545" s="8">
        <v>10</v>
      </c>
      <c r="R545" s="5" t="s">
        <v>30</v>
      </c>
      <c r="S545" s="7" t="s">
        <v>15</v>
      </c>
    </row>
    <row r="546" spans="1:19" x14ac:dyDescent="0.25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1">
        <v>28372.959999999999</v>
      </c>
      <c r="N546" s="1">
        <f>financials[[#This Row],[Sales]]-financials[[#This Row],[Budget]]</f>
        <v>1811.0400000000009</v>
      </c>
      <c r="O546" s="10">
        <f>(financials[[#This Row],[Sales]]-financials[[#This Row],[Budget]])/financials[[#This Row],[Budget]]</f>
        <v>6.382978723404259E-2</v>
      </c>
      <c r="P546" s="6">
        <v>41548</v>
      </c>
      <c r="Q546" s="8">
        <v>10</v>
      </c>
      <c r="R546" s="5" t="s">
        <v>30</v>
      </c>
      <c r="S546" s="7" t="s">
        <v>14</v>
      </c>
    </row>
    <row r="547" spans="1:19" x14ac:dyDescent="0.25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1">
        <v>281793.60000000003</v>
      </c>
      <c r="N547" s="1">
        <f>financials[[#This Row],[Sales]]-financials[[#This Row],[Budget]]</f>
        <v>31310.399999999965</v>
      </c>
      <c r="O547" s="10">
        <f>(financials[[#This Row],[Sales]]-financials[[#This Row],[Budget]])/financials[[#This Row],[Budget]]</f>
        <v>0.11111111111111098</v>
      </c>
      <c r="P547" s="6">
        <v>41609</v>
      </c>
      <c r="Q547" s="8">
        <v>12</v>
      </c>
      <c r="R547" s="5" t="s">
        <v>32</v>
      </c>
      <c r="S547" s="7" t="s">
        <v>14</v>
      </c>
    </row>
    <row r="548" spans="1:19" x14ac:dyDescent="0.25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1">
        <v>1042628.3999999999</v>
      </c>
      <c r="N548" s="1">
        <f>financials[[#This Row],[Sales]]-financials[[#This Row],[Budget]]</f>
        <v>-119948.39999999991</v>
      </c>
      <c r="O548" s="10">
        <f>(financials[[#This Row],[Sales]]-financials[[#This Row],[Budget]])/financials[[#This Row],[Budget]]</f>
        <v>-0.11504424778761053</v>
      </c>
      <c r="P548" s="6">
        <v>41640</v>
      </c>
      <c r="Q548" s="8">
        <v>1</v>
      </c>
      <c r="R548" s="5" t="s">
        <v>21</v>
      </c>
      <c r="S548" s="7" t="s">
        <v>15</v>
      </c>
    </row>
    <row r="549" spans="1:19" x14ac:dyDescent="0.25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1">
        <v>251056.96000000002</v>
      </c>
      <c r="N549" s="1">
        <f>financials[[#This Row],[Sales]]-financials[[#This Row],[Budget]]</f>
        <v>21831.039999999979</v>
      </c>
      <c r="O549" s="10">
        <f>(financials[[#This Row],[Sales]]-financials[[#This Row],[Budget]])/financials[[#This Row],[Budget]]</f>
        <v>8.6956521739130349E-2</v>
      </c>
      <c r="P549" s="6">
        <v>41791</v>
      </c>
      <c r="Q549" s="8">
        <v>6</v>
      </c>
      <c r="R549" s="5" t="s">
        <v>26</v>
      </c>
      <c r="S549" s="7" t="s">
        <v>15</v>
      </c>
    </row>
    <row r="550" spans="1:19" x14ac:dyDescent="0.25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1">
        <v>225302</v>
      </c>
      <c r="N550" s="1">
        <f>financials[[#This Row],[Sales]]-financials[[#This Row],[Budget]]</f>
        <v>11858</v>
      </c>
      <c r="O550" s="10">
        <f>(financials[[#This Row],[Sales]]-financials[[#This Row],[Budget]])/financials[[#This Row],[Budget]]</f>
        <v>5.2631578947368418E-2</v>
      </c>
      <c r="P550" s="6">
        <v>41913</v>
      </c>
      <c r="Q550" s="8">
        <v>10</v>
      </c>
      <c r="R550" s="5" t="s">
        <v>30</v>
      </c>
      <c r="S550" s="7" t="s">
        <v>15</v>
      </c>
    </row>
    <row r="551" spans="1:19" x14ac:dyDescent="0.25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1">
        <v>16246.56</v>
      </c>
      <c r="N551" s="1">
        <f>financials[[#This Row],[Sales]]-financials[[#This Row],[Budget]]</f>
        <v>-318.55999999999949</v>
      </c>
      <c r="O551" s="10">
        <f>(financials[[#This Row],[Sales]]-financials[[#This Row],[Budget]])/financials[[#This Row],[Budget]]</f>
        <v>-1.960784313725487E-2</v>
      </c>
      <c r="P551" s="6">
        <v>41913</v>
      </c>
      <c r="Q551" s="8">
        <v>10</v>
      </c>
      <c r="R551" s="5" t="s">
        <v>30</v>
      </c>
      <c r="S551" s="7" t="s">
        <v>15</v>
      </c>
    </row>
    <row r="552" spans="1:19" x14ac:dyDescent="0.25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1">
        <v>28071.120000000003</v>
      </c>
      <c r="N552" s="1">
        <f>financials[[#This Row],[Sales]]-financials[[#This Row],[Budget]]</f>
        <v>2112.8799999999974</v>
      </c>
      <c r="O552" s="10">
        <f>(financials[[#This Row],[Sales]]-financials[[#This Row],[Budget]])/financials[[#This Row],[Budget]]</f>
        <v>7.5268817204300981E-2</v>
      </c>
      <c r="P552" s="6">
        <v>41548</v>
      </c>
      <c r="Q552" s="8">
        <v>10</v>
      </c>
      <c r="R552" s="5" t="s">
        <v>30</v>
      </c>
      <c r="S552" s="7" t="s">
        <v>14</v>
      </c>
    </row>
    <row r="553" spans="1:19" x14ac:dyDescent="0.25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1">
        <v>476223.44</v>
      </c>
      <c r="N553" s="1">
        <f>financials[[#This Row],[Sales]]-financials[[#This Row],[Budget]]</f>
        <v>14728.559999999998</v>
      </c>
      <c r="O553" s="10">
        <f>(financials[[#This Row],[Sales]]-financials[[#This Row],[Budget]])/financials[[#This Row],[Budget]]</f>
        <v>3.0927835051546386E-2</v>
      </c>
      <c r="P553" s="6">
        <v>41944</v>
      </c>
      <c r="Q553" s="8">
        <v>11</v>
      </c>
      <c r="R553" s="5" t="s">
        <v>31</v>
      </c>
      <c r="S553" s="7" t="s">
        <v>15</v>
      </c>
    </row>
    <row r="554" spans="1:19" x14ac:dyDescent="0.25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1">
        <v>312135.12</v>
      </c>
      <c r="N554" s="1">
        <f>financials[[#This Row],[Sales]]-financials[[#This Row],[Budget]]</f>
        <v>46640.880000000005</v>
      </c>
      <c r="O554" s="10">
        <f>(financials[[#This Row],[Sales]]-financials[[#This Row],[Budget]])/financials[[#This Row],[Budget]]</f>
        <v>0.14942528735632185</v>
      </c>
      <c r="P554" s="6">
        <v>41944</v>
      </c>
      <c r="Q554" s="8">
        <v>11</v>
      </c>
      <c r="R554" s="5" t="s">
        <v>31</v>
      </c>
      <c r="S554" s="7" t="s">
        <v>15</v>
      </c>
    </row>
    <row r="555" spans="1:19" x14ac:dyDescent="0.25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1">
        <v>630036</v>
      </c>
      <c r="N555" s="1">
        <f>financials[[#This Row],[Sales]]-financials[[#This Row],[Budget]]</f>
        <v>-62436</v>
      </c>
      <c r="O555" s="10">
        <f>(financials[[#This Row],[Sales]]-financials[[#This Row],[Budget]])/financials[[#This Row],[Budget]]</f>
        <v>-9.90990990990991E-2</v>
      </c>
      <c r="P555" s="6">
        <v>41944</v>
      </c>
      <c r="Q555" s="8">
        <v>11</v>
      </c>
      <c r="R555" s="5" t="s">
        <v>31</v>
      </c>
      <c r="S555" s="7" t="s">
        <v>15</v>
      </c>
    </row>
    <row r="556" spans="1:19" x14ac:dyDescent="0.25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1">
        <v>364989.24</v>
      </c>
      <c r="N556" s="1">
        <f>financials[[#This Row],[Sales]]-financials[[#This Row],[Budget]]</f>
        <v>3686.7600000000093</v>
      </c>
      <c r="O556" s="10">
        <f>(financials[[#This Row],[Sales]]-financials[[#This Row],[Budget]])/financials[[#This Row],[Budget]]</f>
        <v>1.0101010101010126E-2</v>
      </c>
      <c r="P556" s="6">
        <v>41944</v>
      </c>
      <c r="Q556" s="8">
        <v>11</v>
      </c>
      <c r="R556" s="5" t="s">
        <v>31</v>
      </c>
      <c r="S556" s="7" t="s">
        <v>15</v>
      </c>
    </row>
    <row r="557" spans="1:19" x14ac:dyDescent="0.25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1">
        <v>5467.4400000000005</v>
      </c>
      <c r="N557" s="1">
        <f>financials[[#This Row],[Sales]]-financials[[#This Row],[Budget]]</f>
        <v>-451.44000000000051</v>
      </c>
      <c r="O557" s="10">
        <f>(financials[[#This Row],[Sales]]-financials[[#This Row],[Budget]])/financials[[#This Row],[Budget]]</f>
        <v>-8.2568807339449629E-2</v>
      </c>
      <c r="P557" s="6">
        <v>41609</v>
      </c>
      <c r="Q557" s="8">
        <v>12</v>
      </c>
      <c r="R557" s="5" t="s">
        <v>32</v>
      </c>
      <c r="S557" s="7" t="s">
        <v>14</v>
      </c>
    </row>
    <row r="558" spans="1:19" x14ac:dyDescent="0.25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1">
        <v>23436.864000000001</v>
      </c>
      <c r="N558" s="1">
        <f>financials[[#This Row],[Sales]]-financials[[#This Row],[Budget]]</f>
        <v>-1736.0640000000021</v>
      </c>
      <c r="O558" s="10">
        <f>(financials[[#This Row],[Sales]]-financials[[#This Row],[Budget]])/financials[[#This Row],[Budget]]</f>
        <v>-7.4074074074074167E-2</v>
      </c>
      <c r="P558" s="6">
        <v>41974</v>
      </c>
      <c r="Q558" s="8">
        <v>12</v>
      </c>
      <c r="R558" s="5" t="s">
        <v>32</v>
      </c>
      <c r="S558" s="7" t="s">
        <v>15</v>
      </c>
    </row>
    <row r="559" spans="1:19" x14ac:dyDescent="0.25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1">
        <v>365211</v>
      </c>
      <c r="N559" s="1">
        <f>financials[[#This Row],[Sales]]-financials[[#This Row],[Budget]]</f>
        <v>64449</v>
      </c>
      <c r="O559" s="10">
        <f>(financials[[#This Row],[Sales]]-financials[[#This Row],[Budget]])/financials[[#This Row],[Budget]]</f>
        <v>0.17647058823529413</v>
      </c>
      <c r="P559" s="6">
        <v>41821</v>
      </c>
      <c r="Q559" s="8">
        <v>7</v>
      </c>
      <c r="R559" s="5" t="s">
        <v>27</v>
      </c>
      <c r="S559" s="7" t="s">
        <v>15</v>
      </c>
    </row>
    <row r="560" spans="1:19" x14ac:dyDescent="0.25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1">
        <v>258134.8</v>
      </c>
      <c r="N560" s="1">
        <f>financials[[#This Row],[Sales]]-financials[[#This Row],[Budget]]</f>
        <v>45553.200000000012</v>
      </c>
      <c r="O560" s="10">
        <f>(financials[[#This Row],[Sales]]-financials[[#This Row],[Budget]])/financials[[#This Row],[Budget]]</f>
        <v>0.17647058823529416</v>
      </c>
      <c r="P560" s="6">
        <v>41913</v>
      </c>
      <c r="Q560" s="8">
        <v>10</v>
      </c>
      <c r="R560" s="5" t="s">
        <v>30</v>
      </c>
      <c r="S560" s="7" t="s">
        <v>15</v>
      </c>
    </row>
    <row r="561" spans="1:19" x14ac:dyDescent="0.25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1">
        <v>15290.88</v>
      </c>
      <c r="N561" s="1">
        <f>financials[[#This Row],[Sales]]-financials[[#This Row],[Budget]]</f>
        <v>637.1200000000008</v>
      </c>
      <c r="O561" s="10">
        <f>(financials[[#This Row],[Sales]]-financials[[#This Row],[Budget]])/financials[[#This Row],[Budget]]</f>
        <v>4.166666666666672E-2</v>
      </c>
      <c r="P561" s="6">
        <v>41913</v>
      </c>
      <c r="Q561" s="8">
        <v>10</v>
      </c>
      <c r="R561" s="5" t="s">
        <v>30</v>
      </c>
      <c r="S561" s="7" t="s">
        <v>15</v>
      </c>
    </row>
    <row r="562" spans="1:19" x14ac:dyDescent="0.25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1">
        <v>24720.854400000004</v>
      </c>
      <c r="N562" s="1">
        <f>financials[[#This Row],[Sales]]-financials[[#This Row],[Budget]]</f>
        <v>-2449.8144000000029</v>
      </c>
      <c r="O562" s="10">
        <f>(financials[[#This Row],[Sales]]-financials[[#This Row],[Budget]])/financials[[#This Row],[Budget]]</f>
        <v>-9.9099099099099197E-2</v>
      </c>
      <c r="P562" s="6">
        <v>41760</v>
      </c>
      <c r="Q562" s="8">
        <v>5</v>
      </c>
      <c r="R562" s="5" t="s">
        <v>25</v>
      </c>
      <c r="S562" s="7" t="s">
        <v>15</v>
      </c>
    </row>
    <row r="563" spans="1:19" x14ac:dyDescent="0.25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1">
        <v>55234.871999999996</v>
      </c>
      <c r="N563" s="1">
        <f>financials[[#This Row],[Sales]]-financials[[#This Row],[Budget]]</f>
        <v>-4091.4720000000016</v>
      </c>
      <c r="O563" s="10">
        <f>(financials[[#This Row],[Sales]]-financials[[#This Row],[Budget]])/financials[[#This Row],[Budget]]</f>
        <v>-7.4074074074074112E-2</v>
      </c>
      <c r="P563" s="6">
        <v>41821</v>
      </c>
      <c r="Q563" s="8">
        <v>7</v>
      </c>
      <c r="R563" s="5" t="s">
        <v>27</v>
      </c>
      <c r="S563" s="7" t="s">
        <v>15</v>
      </c>
    </row>
    <row r="564" spans="1:19" x14ac:dyDescent="0.25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1">
        <v>193802.84</v>
      </c>
      <c r="N564" s="1">
        <f>financials[[#This Row],[Sales]]-financials[[#This Row],[Budget]]</f>
        <v>-1918.8399999999965</v>
      </c>
      <c r="O564" s="10">
        <f>(financials[[#This Row],[Sales]]-financials[[#This Row],[Budget]])/financials[[#This Row],[Budget]]</f>
        <v>-9.9009900990098838E-3</v>
      </c>
      <c r="P564" s="6">
        <v>41518</v>
      </c>
      <c r="Q564" s="8">
        <v>9</v>
      </c>
      <c r="R564" s="5" t="s">
        <v>29</v>
      </c>
      <c r="S564" s="7" t="s">
        <v>14</v>
      </c>
    </row>
    <row r="565" spans="1:19" x14ac:dyDescent="0.25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1">
        <v>309761.76</v>
      </c>
      <c r="N565" s="1">
        <f>financials[[#This Row],[Sales]]-financials[[#This Row],[Budget]]</f>
        <v>-6073.7600000000093</v>
      </c>
      <c r="O565" s="10">
        <f>(financials[[#This Row],[Sales]]-financials[[#This Row],[Budget]])/financials[[#This Row],[Budget]]</f>
        <v>-1.9607843137254933E-2</v>
      </c>
      <c r="P565" s="6">
        <v>41913</v>
      </c>
      <c r="Q565" s="8">
        <v>10</v>
      </c>
      <c r="R565" s="5" t="s">
        <v>30</v>
      </c>
      <c r="S565" s="7" t="s">
        <v>15</v>
      </c>
    </row>
    <row r="566" spans="1:19" x14ac:dyDescent="0.25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1">
        <v>238938.7</v>
      </c>
      <c r="N566" s="1">
        <f>financials[[#This Row],[Sales]]-financials[[#This Row],[Budget]]</f>
        <v>23631.299999999988</v>
      </c>
      <c r="O566" s="10">
        <f>(financials[[#This Row],[Sales]]-financials[[#This Row],[Budget]])/financials[[#This Row],[Budget]]</f>
        <v>9.8901098901098841E-2</v>
      </c>
      <c r="P566" s="6">
        <v>41944</v>
      </c>
      <c r="Q566" s="8">
        <v>11</v>
      </c>
      <c r="R566" s="5" t="s">
        <v>31</v>
      </c>
      <c r="S566" s="7" t="s">
        <v>15</v>
      </c>
    </row>
    <row r="567" spans="1:19" x14ac:dyDescent="0.25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1">
        <v>23870.880000000001</v>
      </c>
      <c r="N567" s="1">
        <f>financials[[#This Row],[Sales]]-financials[[#This Row],[Budget]]</f>
        <v>-2170.0800000000017</v>
      </c>
      <c r="O567" s="10">
        <f>(financials[[#This Row],[Sales]]-financials[[#This Row],[Budget]])/financials[[#This Row],[Budget]]</f>
        <v>-9.0909090909090981E-2</v>
      </c>
      <c r="P567" s="6">
        <v>41974</v>
      </c>
      <c r="Q567" s="8">
        <v>12</v>
      </c>
      <c r="R567" s="5" t="s">
        <v>32</v>
      </c>
      <c r="S567" s="7" t="s">
        <v>15</v>
      </c>
    </row>
    <row r="568" spans="1:19" x14ac:dyDescent="0.25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1">
        <v>76507.199999999997</v>
      </c>
      <c r="N568" s="1">
        <f>financials[[#This Row],[Sales]]-financials[[#This Row],[Budget]]</f>
        <v>6652.8000000000029</v>
      </c>
      <c r="O568" s="10">
        <f>(financials[[#This Row],[Sales]]-financials[[#This Row],[Budget]])/financials[[#This Row],[Budget]]</f>
        <v>8.6956521739130474E-2</v>
      </c>
      <c r="P568" s="6">
        <v>41671</v>
      </c>
      <c r="Q568" s="8">
        <v>2</v>
      </c>
      <c r="R568" s="5" t="s">
        <v>22</v>
      </c>
      <c r="S568" s="7" t="s">
        <v>15</v>
      </c>
    </row>
    <row r="569" spans="1:19" x14ac:dyDescent="0.25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1">
        <v>24027.141599999995</v>
      </c>
      <c r="N569" s="1">
        <f>financials[[#This Row],[Sales]]-financials[[#This Row],[Budget]]</f>
        <v>-2950.7015999999967</v>
      </c>
      <c r="O569" s="10">
        <f>(financials[[#This Row],[Sales]]-financials[[#This Row],[Budget]])/financials[[#This Row],[Budget]]</f>
        <v>-0.12280701754385953</v>
      </c>
      <c r="P569" s="6">
        <v>41821</v>
      </c>
      <c r="Q569" s="8">
        <v>7</v>
      </c>
      <c r="R569" s="5" t="s">
        <v>27</v>
      </c>
      <c r="S569" s="7" t="s">
        <v>15</v>
      </c>
    </row>
    <row r="570" spans="1:19" x14ac:dyDescent="0.25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1">
        <v>17851.9264</v>
      </c>
      <c r="N570" s="1">
        <f>financials[[#This Row],[Sales]]-financials[[#This Row],[Budget]]</f>
        <v>-1010.4864000000016</v>
      </c>
      <c r="O570" s="10">
        <f>(financials[[#This Row],[Sales]]-financials[[#This Row],[Budget]])/financials[[#This Row],[Budget]]</f>
        <v>-5.6603773584905752E-2</v>
      </c>
      <c r="P570" s="6">
        <v>41913</v>
      </c>
      <c r="Q570" s="8">
        <v>10</v>
      </c>
      <c r="R570" s="5" t="s">
        <v>30</v>
      </c>
      <c r="S570" s="7" t="s">
        <v>15</v>
      </c>
    </row>
    <row r="571" spans="1:19" x14ac:dyDescent="0.25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1">
        <v>35987.951999999997</v>
      </c>
      <c r="N571" s="1">
        <f>financials[[#This Row],[Sales]]-financials[[#This Row],[Budget]]</f>
        <v>-2354.351999999999</v>
      </c>
      <c r="O571" s="10">
        <f>(financials[[#This Row],[Sales]]-financials[[#This Row],[Budget]])/financials[[#This Row],[Budget]]</f>
        <v>-6.5420560747663531E-2</v>
      </c>
      <c r="P571" s="6">
        <v>41579</v>
      </c>
      <c r="Q571" s="8">
        <v>11</v>
      </c>
      <c r="R571" s="5" t="s">
        <v>31</v>
      </c>
      <c r="S571" s="7" t="s">
        <v>14</v>
      </c>
    </row>
    <row r="572" spans="1:19" x14ac:dyDescent="0.25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1">
        <v>38165.423999999992</v>
      </c>
      <c r="N572" s="1">
        <f>financials[[#This Row],[Sales]]-financials[[#This Row],[Budget]]</f>
        <v>6212.9760000000024</v>
      </c>
      <c r="O572" s="10">
        <f>(financials[[#This Row],[Sales]]-financials[[#This Row],[Budget]])/financials[[#This Row],[Budget]]</f>
        <v>0.1627906976744187</v>
      </c>
      <c r="P572" s="6">
        <v>41640</v>
      </c>
      <c r="Q572" s="8">
        <v>1</v>
      </c>
      <c r="R572" s="5" t="s">
        <v>21</v>
      </c>
      <c r="S572" s="7" t="s">
        <v>15</v>
      </c>
    </row>
    <row r="573" spans="1:19" x14ac:dyDescent="0.25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1">
        <v>24447.139200000001</v>
      </c>
      <c r="N573" s="1">
        <f>financials[[#This Row],[Sales]]-financials[[#This Row],[Budget]]</f>
        <v>3653.0207999999984</v>
      </c>
      <c r="O573" s="10">
        <f>(financials[[#This Row],[Sales]]-financials[[#This Row],[Budget]])/financials[[#This Row],[Budget]]</f>
        <v>0.14942528735632177</v>
      </c>
      <c r="P573" s="6">
        <v>41760</v>
      </c>
      <c r="Q573" s="8">
        <v>5</v>
      </c>
      <c r="R573" s="5" t="s">
        <v>25</v>
      </c>
      <c r="S573" s="7" t="s">
        <v>15</v>
      </c>
    </row>
    <row r="574" spans="1:19" x14ac:dyDescent="0.25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1">
        <v>26137.231999999996</v>
      </c>
      <c r="N574" s="1">
        <f>financials[[#This Row],[Sales]]-financials[[#This Row],[Budget]]</f>
        <v>808.36800000000221</v>
      </c>
      <c r="O574" s="10">
        <f>(financials[[#This Row],[Sales]]-financials[[#This Row],[Budget]])/financials[[#This Row],[Budget]]</f>
        <v>3.092783505154648E-2</v>
      </c>
      <c r="P574" s="6">
        <v>41974</v>
      </c>
      <c r="Q574" s="8">
        <v>12</v>
      </c>
      <c r="R574" s="5" t="s">
        <v>32</v>
      </c>
      <c r="S574" s="7" t="s">
        <v>15</v>
      </c>
    </row>
    <row r="575" spans="1:19" x14ac:dyDescent="0.25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1">
        <v>9460.0967999999993</v>
      </c>
      <c r="N575" s="1">
        <f>financials[[#This Row],[Sales]]-financials[[#This Row],[Budget]]</f>
        <v>-275.53679999999986</v>
      </c>
      <c r="O575" s="10">
        <f>(financials[[#This Row],[Sales]]-financials[[#This Row],[Budget]])/financials[[#This Row],[Budget]]</f>
        <v>-2.9126213592232997E-2</v>
      </c>
      <c r="P575" s="6">
        <v>41699</v>
      </c>
      <c r="Q575" s="8">
        <v>3</v>
      </c>
      <c r="R575" s="5" t="s">
        <v>23</v>
      </c>
      <c r="S575" s="7" t="s">
        <v>15</v>
      </c>
    </row>
    <row r="576" spans="1:19" x14ac:dyDescent="0.25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1">
        <v>30448.527999999995</v>
      </c>
      <c r="N576" s="1">
        <f>financials[[#This Row],[Sales]]-financials[[#This Row],[Budget]]</f>
        <v>-3502.9279999999962</v>
      </c>
      <c r="O576" s="10">
        <f>(financials[[#This Row],[Sales]]-financials[[#This Row],[Budget]])/financials[[#This Row],[Budget]]</f>
        <v>-0.11504424778761052</v>
      </c>
      <c r="P576" s="6">
        <v>41974</v>
      </c>
      <c r="Q576" s="8">
        <v>12</v>
      </c>
      <c r="R576" s="5" t="s">
        <v>32</v>
      </c>
      <c r="S576" s="7" t="s">
        <v>15</v>
      </c>
    </row>
    <row r="577" spans="1:19" x14ac:dyDescent="0.25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1">
        <v>33238.022399999994</v>
      </c>
      <c r="N577" s="1">
        <f>financials[[#This Row],[Sales]]-financials[[#This Row],[Budget]]</f>
        <v>-4081.8623999999945</v>
      </c>
      <c r="O577" s="10">
        <f>(financials[[#This Row],[Sales]]-financials[[#This Row],[Budget]])/financials[[#This Row],[Budget]]</f>
        <v>-0.1228070175438595</v>
      </c>
      <c r="P577" s="6">
        <v>41518</v>
      </c>
      <c r="Q577" s="8">
        <v>9</v>
      </c>
      <c r="R577" s="5" t="s">
        <v>29</v>
      </c>
      <c r="S577" s="7" t="s">
        <v>14</v>
      </c>
    </row>
    <row r="578" spans="1:19" x14ac:dyDescent="0.25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1">
        <v>38524.252499999995</v>
      </c>
      <c r="N578" s="1">
        <f>financials[[#This Row],[Sales]]-financials[[#This Row],[Budget]]</f>
        <v>-5024.9024999999965</v>
      </c>
      <c r="O578" s="10">
        <f>(financials[[#This Row],[Sales]]-financials[[#This Row],[Budget]])/financials[[#This Row],[Budget]]</f>
        <v>-0.13043478260869557</v>
      </c>
      <c r="P578" s="6">
        <v>41791</v>
      </c>
      <c r="Q578" s="8">
        <v>6</v>
      </c>
      <c r="R578" s="5" t="s">
        <v>26</v>
      </c>
      <c r="S578" s="7" t="s">
        <v>15</v>
      </c>
    </row>
    <row r="579" spans="1:19" x14ac:dyDescent="0.25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1">
        <v>34504.330499999996</v>
      </c>
      <c r="N579" s="1">
        <f>financials[[#This Row],[Sales]]-financials[[#This Row],[Budget]]</f>
        <v>-1004.9804999999978</v>
      </c>
      <c r="O579" s="10">
        <f>(financials[[#This Row],[Sales]]-financials[[#This Row],[Budget]])/financials[[#This Row],[Budget]]</f>
        <v>-2.9126213592232952E-2</v>
      </c>
      <c r="P579" s="6">
        <v>41791</v>
      </c>
      <c r="Q579" s="8">
        <v>6</v>
      </c>
      <c r="R579" s="5" t="s">
        <v>26</v>
      </c>
      <c r="S579" s="7" t="s">
        <v>15</v>
      </c>
    </row>
    <row r="580" spans="1:19" x14ac:dyDescent="0.25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1">
        <v>255758.685</v>
      </c>
      <c r="N580" s="1">
        <f>financials[[#This Row],[Sales]]-financials[[#This Row],[Budget]]</f>
        <v>25294.815000000002</v>
      </c>
      <c r="O580" s="10">
        <f>(financials[[#This Row],[Sales]]-financials[[#This Row],[Budget]])/financials[[#This Row],[Budget]]</f>
        <v>9.8901098901098911E-2</v>
      </c>
      <c r="P580" s="6">
        <v>41699</v>
      </c>
      <c r="Q580" s="8">
        <v>3</v>
      </c>
      <c r="R580" s="5" t="s">
        <v>23</v>
      </c>
      <c r="S580" s="7" t="s">
        <v>15</v>
      </c>
    </row>
    <row r="581" spans="1:19" x14ac:dyDescent="0.25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1">
        <v>490549.5</v>
      </c>
      <c r="N581" s="1">
        <f>financials[[#This Row],[Sales]]-financials[[#This Row],[Budget]]</f>
        <v>54505.5</v>
      </c>
      <c r="O581" s="10">
        <f>(financials[[#This Row],[Sales]]-financials[[#This Row],[Budget]])/financials[[#This Row],[Budget]]</f>
        <v>0.1111111111111111</v>
      </c>
      <c r="P581" s="6">
        <v>41699</v>
      </c>
      <c r="Q581" s="8">
        <v>3</v>
      </c>
      <c r="R581" s="5" t="s">
        <v>23</v>
      </c>
      <c r="S581" s="7" t="s">
        <v>15</v>
      </c>
    </row>
    <row r="582" spans="1:19" x14ac:dyDescent="0.25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1">
        <v>7767.7080000000005</v>
      </c>
      <c r="N582" s="1">
        <f>financials[[#This Row],[Sales]]-financials[[#This Row],[Budget]]</f>
        <v>-76.908000000000357</v>
      </c>
      <c r="O582" s="10">
        <f>(financials[[#This Row],[Sales]]-financials[[#This Row],[Budget]])/financials[[#This Row],[Budget]]</f>
        <v>-9.9009900990099462E-3</v>
      </c>
      <c r="P582" s="6">
        <v>41518</v>
      </c>
      <c r="Q582" s="8">
        <v>9</v>
      </c>
      <c r="R582" s="5" t="s">
        <v>29</v>
      </c>
      <c r="S582" s="7" t="s">
        <v>14</v>
      </c>
    </row>
    <row r="583" spans="1:19" x14ac:dyDescent="0.25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1">
        <v>344046.9375</v>
      </c>
      <c r="N583" s="1">
        <f>financials[[#This Row],[Sales]]-financials[[#This Row],[Budget]]</f>
        <v>-44875.6875</v>
      </c>
      <c r="O583" s="10">
        <f>(financials[[#This Row],[Sales]]-financials[[#This Row],[Budget]])/financials[[#This Row],[Budget]]</f>
        <v>-0.13043478260869565</v>
      </c>
      <c r="P583" s="6">
        <v>41640</v>
      </c>
      <c r="Q583" s="8">
        <v>1</v>
      </c>
      <c r="R583" s="5" t="s">
        <v>21</v>
      </c>
      <c r="S583" s="7" t="s">
        <v>15</v>
      </c>
    </row>
    <row r="584" spans="1:19" x14ac:dyDescent="0.25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1">
        <v>9011.4947999999986</v>
      </c>
      <c r="N584" s="1">
        <f>financials[[#This Row],[Sales]]-financials[[#This Row],[Budget]]</f>
        <v>-1106.6747999999989</v>
      </c>
      <c r="O584" s="10">
        <f>(financials[[#This Row],[Sales]]-financials[[#This Row],[Budget]])/financials[[#This Row],[Budget]]</f>
        <v>-0.12280701754385955</v>
      </c>
      <c r="P584" s="6">
        <v>41671</v>
      </c>
      <c r="Q584" s="8">
        <v>2</v>
      </c>
      <c r="R584" s="5" t="s">
        <v>22</v>
      </c>
      <c r="S584" s="7" t="s">
        <v>15</v>
      </c>
    </row>
    <row r="585" spans="1:19" x14ac:dyDescent="0.25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1">
        <v>5422.9535999999998</v>
      </c>
      <c r="N585" s="1">
        <f>financials[[#This Row],[Sales]]-financials[[#This Row],[Budget]]</f>
        <v>882.80640000000039</v>
      </c>
      <c r="O585" s="10">
        <f>(financials[[#This Row],[Sales]]-financials[[#This Row],[Budget]])/financials[[#This Row],[Budget]]</f>
        <v>0.16279069767441867</v>
      </c>
      <c r="P585" s="6">
        <v>41791</v>
      </c>
      <c r="Q585" s="8">
        <v>6</v>
      </c>
      <c r="R585" s="5" t="s">
        <v>26</v>
      </c>
      <c r="S585" s="7" t="s">
        <v>15</v>
      </c>
    </row>
    <row r="586" spans="1:19" x14ac:dyDescent="0.25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1">
        <v>34136.19</v>
      </c>
      <c r="N586" s="1">
        <f>financials[[#This Row],[Sales]]-financials[[#This Row],[Budget]]</f>
        <v>5100.8099999999977</v>
      </c>
      <c r="O586" s="10">
        <f>(financials[[#This Row],[Sales]]-financials[[#This Row],[Budget]])/financials[[#This Row],[Budget]]</f>
        <v>0.14942528735632177</v>
      </c>
      <c r="P586" s="6">
        <v>41821</v>
      </c>
      <c r="Q586" s="8">
        <v>7</v>
      </c>
      <c r="R586" s="5" t="s">
        <v>27</v>
      </c>
      <c r="S586" s="7" t="s">
        <v>15</v>
      </c>
    </row>
    <row r="587" spans="1:19" x14ac:dyDescent="0.25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1">
        <v>21732.6</v>
      </c>
      <c r="N587" s="1">
        <f>financials[[#This Row],[Sales]]-financials[[#This Row],[Budget]]</f>
        <v>0</v>
      </c>
      <c r="O587" s="10">
        <f>(financials[[#This Row],[Sales]]-financials[[#This Row],[Budget]])/financials[[#This Row],[Budget]]</f>
        <v>0</v>
      </c>
      <c r="P587" s="6">
        <v>41913</v>
      </c>
      <c r="Q587" s="8">
        <v>10</v>
      </c>
      <c r="R587" s="5" t="s">
        <v>30</v>
      </c>
      <c r="S587" s="7" t="s">
        <v>15</v>
      </c>
    </row>
    <row r="588" spans="1:19" x14ac:dyDescent="0.25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1">
        <v>9811.720800000001</v>
      </c>
      <c r="N588" s="1">
        <f>financials[[#This Row],[Sales]]-financials[[#This Row],[Budget]]</f>
        <v>-1051.2558000000008</v>
      </c>
      <c r="O588" s="10">
        <f>(financials[[#This Row],[Sales]]-financials[[#This Row],[Budget]])/financials[[#This Row],[Budget]]</f>
        <v>-0.10714285714285722</v>
      </c>
      <c r="P588" s="6">
        <v>41640</v>
      </c>
      <c r="Q588" s="8">
        <v>1</v>
      </c>
      <c r="R588" s="5" t="s">
        <v>21</v>
      </c>
      <c r="S588" s="7" t="s">
        <v>15</v>
      </c>
    </row>
    <row r="589" spans="1:19" x14ac:dyDescent="0.25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1">
        <v>227477.16</v>
      </c>
      <c r="N589" s="1">
        <f>financials[[#This Row],[Sales]]-financials[[#This Row],[Budget]]</f>
        <v>-16850.160000000003</v>
      </c>
      <c r="O589" s="10">
        <f>(financials[[#This Row],[Sales]]-financials[[#This Row],[Budget]])/financials[[#This Row],[Budget]]</f>
        <v>-7.4074074074074084E-2</v>
      </c>
      <c r="P589" s="6">
        <v>41640</v>
      </c>
      <c r="Q589" s="8">
        <v>1</v>
      </c>
      <c r="R589" s="5" t="s">
        <v>21</v>
      </c>
      <c r="S589" s="7" t="s">
        <v>15</v>
      </c>
    </row>
    <row r="590" spans="1:19" x14ac:dyDescent="0.25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1">
        <v>48710.604000000007</v>
      </c>
      <c r="N590" s="1">
        <f>financials[[#This Row],[Sales]]-financials[[#This Row],[Budget]]</f>
        <v>-2757.2040000000052</v>
      </c>
      <c r="O590" s="10">
        <f>(financials[[#This Row],[Sales]]-financials[[#This Row],[Budget]])/financials[[#This Row],[Budget]]</f>
        <v>-5.6603773584905759E-2</v>
      </c>
      <c r="P590" s="6">
        <v>41671</v>
      </c>
      <c r="Q590" s="8">
        <v>2</v>
      </c>
      <c r="R590" s="5" t="s">
        <v>22</v>
      </c>
      <c r="S590" s="7" t="s">
        <v>15</v>
      </c>
    </row>
    <row r="591" spans="1:19" x14ac:dyDescent="0.25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1">
        <v>44763.24</v>
      </c>
      <c r="N591" s="1">
        <f>financials[[#This Row],[Sales]]-financials[[#This Row],[Budget]]</f>
        <v>2355.9599999999991</v>
      </c>
      <c r="O591" s="10">
        <f>(financials[[#This Row],[Sales]]-financials[[#This Row],[Budget]])/financials[[#This Row],[Budget]]</f>
        <v>5.2631578947368404E-2</v>
      </c>
      <c r="P591" s="6">
        <v>41671</v>
      </c>
      <c r="Q591" s="8">
        <v>2</v>
      </c>
      <c r="R591" s="5" t="s">
        <v>22</v>
      </c>
      <c r="S591" s="7" t="s">
        <v>15</v>
      </c>
    </row>
    <row r="592" spans="1:19" x14ac:dyDescent="0.25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1">
        <v>921660.6</v>
      </c>
      <c r="N592" s="1">
        <f>financials[[#This Row],[Sales]]-financials[[#This Row],[Budget]]</f>
        <v>-120216.59999999998</v>
      </c>
      <c r="O592" s="10">
        <f>(financials[[#This Row],[Sales]]-financials[[#This Row],[Budget]])/financials[[#This Row],[Budget]]</f>
        <v>-0.13043478260869562</v>
      </c>
      <c r="P592" s="6">
        <v>41791</v>
      </c>
      <c r="Q592" s="8">
        <v>6</v>
      </c>
      <c r="R592" s="5" t="s">
        <v>26</v>
      </c>
      <c r="S592" s="7" t="s">
        <v>15</v>
      </c>
    </row>
    <row r="593" spans="1:19" x14ac:dyDescent="0.25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1">
        <v>196252.42499999999</v>
      </c>
      <c r="N593" s="1">
        <f>financials[[#This Row],[Sales]]-financials[[#This Row],[Budget]]</f>
        <v>-24101.174999999988</v>
      </c>
      <c r="O593" s="10">
        <f>(financials[[#This Row],[Sales]]-financials[[#This Row],[Budget]])/financials[[#This Row],[Budget]]</f>
        <v>-0.1228070175438596</v>
      </c>
      <c r="P593" s="6">
        <v>41791</v>
      </c>
      <c r="Q593" s="8">
        <v>6</v>
      </c>
      <c r="R593" s="5" t="s">
        <v>26</v>
      </c>
      <c r="S593" s="7" t="s">
        <v>15</v>
      </c>
    </row>
    <row r="594" spans="1:19" x14ac:dyDescent="0.25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1">
        <v>6736.2011999999995</v>
      </c>
      <c r="N594" s="1">
        <f>financials[[#This Row],[Sales]]-financials[[#This Row],[Budget]]</f>
        <v>-774.96119999999974</v>
      </c>
      <c r="O594" s="10">
        <f>(financials[[#This Row],[Sales]]-financials[[#This Row],[Budget]])/financials[[#This Row],[Budget]]</f>
        <v>-0.11504424778761059</v>
      </c>
      <c r="P594" s="6">
        <v>41821</v>
      </c>
      <c r="Q594" s="8">
        <v>7</v>
      </c>
      <c r="R594" s="5" t="s">
        <v>27</v>
      </c>
      <c r="S594" s="7" t="s">
        <v>15</v>
      </c>
    </row>
    <row r="595" spans="1:19" x14ac:dyDescent="0.25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1">
        <v>17567.944800000001</v>
      </c>
      <c r="N595" s="1">
        <f>financials[[#This Row],[Sales]]-financials[[#This Row],[Budget]]</f>
        <v>-1149.3048000000017</v>
      </c>
      <c r="O595" s="10">
        <f>(financials[[#This Row],[Sales]]-financials[[#This Row],[Budget]])/financials[[#This Row],[Budget]]</f>
        <v>-6.5420560747663642E-2</v>
      </c>
      <c r="P595" s="6">
        <v>41852</v>
      </c>
      <c r="Q595" s="8">
        <v>8</v>
      </c>
      <c r="R595" s="5" t="s">
        <v>28</v>
      </c>
      <c r="S595" s="7" t="s">
        <v>15</v>
      </c>
    </row>
    <row r="596" spans="1:19" x14ac:dyDescent="0.25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1">
        <v>18789.39</v>
      </c>
      <c r="N596" s="1">
        <f>financials[[#This Row],[Sales]]-financials[[#This Row],[Budget]]</f>
        <v>1633.8600000000006</v>
      </c>
      <c r="O596" s="10">
        <f>(financials[[#This Row],[Sales]]-financials[[#This Row],[Budget]])/financials[[#This Row],[Budget]]</f>
        <v>8.6956521739130474E-2</v>
      </c>
      <c r="P596" s="6">
        <v>41913</v>
      </c>
      <c r="Q596" s="8">
        <v>10</v>
      </c>
      <c r="R596" s="5" t="s">
        <v>30</v>
      </c>
      <c r="S596" s="7" t="s">
        <v>15</v>
      </c>
    </row>
    <row r="597" spans="1:19" x14ac:dyDescent="0.25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1">
        <v>20645.969999999998</v>
      </c>
      <c r="N597" s="1">
        <f>financials[[#This Row],[Sales]]-financials[[#This Row],[Budget]]</f>
        <v>1086.630000000001</v>
      </c>
      <c r="O597" s="10">
        <f>(financials[[#This Row],[Sales]]-financials[[#This Row],[Budget]])/financials[[#This Row],[Budget]]</f>
        <v>5.2631578947368474E-2</v>
      </c>
      <c r="P597" s="6">
        <v>41913</v>
      </c>
      <c r="Q597" s="8">
        <v>10</v>
      </c>
      <c r="R597" s="5" t="s">
        <v>30</v>
      </c>
      <c r="S597" s="7" t="s">
        <v>15</v>
      </c>
    </row>
    <row r="598" spans="1:19" x14ac:dyDescent="0.25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1">
        <v>95661.72</v>
      </c>
      <c r="N598" s="1">
        <f>financials[[#This Row],[Sales]]-financials[[#This Row],[Budget]]</f>
        <v>13044.779999999999</v>
      </c>
      <c r="O598" s="10">
        <f>(financials[[#This Row],[Sales]]-financials[[#This Row],[Budget]])/financials[[#This Row],[Budget]]</f>
        <v>0.13636363636363635</v>
      </c>
      <c r="P598" s="6">
        <v>41944</v>
      </c>
      <c r="Q598" s="8">
        <v>11</v>
      </c>
      <c r="R598" s="5" t="s">
        <v>31</v>
      </c>
      <c r="S598" s="7" t="s">
        <v>15</v>
      </c>
    </row>
    <row r="599" spans="1:19" x14ac:dyDescent="0.25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1">
        <v>9623.9051999999992</v>
      </c>
      <c r="N599" s="1">
        <f>financials[[#This Row],[Sales]]-financials[[#This Row],[Budget]]</f>
        <v>951.8148000000001</v>
      </c>
      <c r="O599" s="10">
        <f>(financials[[#This Row],[Sales]]-financials[[#This Row],[Budget]])/financials[[#This Row],[Budget]]</f>
        <v>9.8901098901098924E-2</v>
      </c>
      <c r="P599" s="6">
        <v>41974</v>
      </c>
      <c r="Q599" s="8">
        <v>12</v>
      </c>
      <c r="R599" s="5" t="s">
        <v>32</v>
      </c>
      <c r="S599" s="7" t="s">
        <v>15</v>
      </c>
    </row>
    <row r="600" spans="1:19" x14ac:dyDescent="0.25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1">
        <v>52167.375</v>
      </c>
      <c r="N600" s="1">
        <f>financials[[#This Row],[Sales]]-financials[[#This Row],[Budget]]</f>
        <v>0</v>
      </c>
      <c r="O600" s="10">
        <f>(financials[[#This Row],[Sales]]-financials[[#This Row],[Budget]])/financials[[#This Row],[Budget]]</f>
        <v>0</v>
      </c>
      <c r="P600" s="6">
        <v>41640</v>
      </c>
      <c r="Q600" s="8">
        <v>1</v>
      </c>
      <c r="R600" s="5" t="s">
        <v>21</v>
      </c>
      <c r="S600" s="7" t="s">
        <v>15</v>
      </c>
    </row>
    <row r="601" spans="1:19" x14ac:dyDescent="0.25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1">
        <v>913646.15999999992</v>
      </c>
      <c r="N601" s="1">
        <f>financials[[#This Row],[Sales]]-financials[[#This Row],[Budget]]</f>
        <v>-112202.15999999992</v>
      </c>
      <c r="O601" s="10">
        <f>(financials[[#This Row],[Sales]]-financials[[#This Row],[Budget]])/financials[[#This Row],[Budget]]</f>
        <v>-0.12280701754385957</v>
      </c>
      <c r="P601" s="6">
        <v>41791</v>
      </c>
      <c r="Q601" s="8">
        <v>6</v>
      </c>
      <c r="R601" s="5" t="s">
        <v>26</v>
      </c>
      <c r="S601" s="7" t="s">
        <v>15</v>
      </c>
    </row>
    <row r="602" spans="1:19" x14ac:dyDescent="0.25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1">
        <v>7464.5130000000008</v>
      </c>
      <c r="N602" s="1">
        <f>financials[[#This Row],[Sales]]-financials[[#This Row],[Budget]]</f>
        <v>-217.41300000000047</v>
      </c>
      <c r="O602" s="10">
        <f>(financials[[#This Row],[Sales]]-financials[[#This Row],[Budget]])/financials[[#This Row],[Budget]]</f>
        <v>-2.912621359223307E-2</v>
      </c>
      <c r="P602" s="6">
        <v>41791</v>
      </c>
      <c r="Q602" s="8">
        <v>6</v>
      </c>
      <c r="R602" s="5" t="s">
        <v>26</v>
      </c>
      <c r="S602" s="7" t="s">
        <v>15</v>
      </c>
    </row>
    <row r="603" spans="1:19" x14ac:dyDescent="0.25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1">
        <v>5927.4143999999997</v>
      </c>
      <c r="N603" s="1">
        <f>financials[[#This Row],[Sales]]-financials[[#This Row],[Budget]]</f>
        <v>378.34560000000056</v>
      </c>
      <c r="O603" s="10">
        <f>(financials[[#This Row],[Sales]]-financials[[#This Row],[Budget]])/financials[[#This Row],[Budget]]</f>
        <v>6.3829787234042645E-2</v>
      </c>
      <c r="P603" s="6">
        <v>41791</v>
      </c>
      <c r="Q603" s="8">
        <v>6</v>
      </c>
      <c r="R603" s="5" t="s">
        <v>26</v>
      </c>
      <c r="S603" s="7" t="s">
        <v>15</v>
      </c>
    </row>
    <row r="604" spans="1:19" x14ac:dyDescent="0.25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1">
        <v>8096.2199999999993</v>
      </c>
      <c r="N604" s="1">
        <f>financials[[#This Row],[Sales]]-financials[[#This Row],[Budget]]</f>
        <v>516.78000000000065</v>
      </c>
      <c r="O604" s="10">
        <f>(financials[[#This Row],[Sales]]-financials[[#This Row],[Budget]])/financials[[#This Row],[Budget]]</f>
        <v>6.3829787234042645E-2</v>
      </c>
      <c r="P604" s="6">
        <v>41518</v>
      </c>
      <c r="Q604" s="8">
        <v>9</v>
      </c>
      <c r="R604" s="5" t="s">
        <v>29</v>
      </c>
      <c r="S604" s="7" t="s">
        <v>14</v>
      </c>
    </row>
    <row r="605" spans="1:19" x14ac:dyDescent="0.25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1">
        <v>4366.0079999999998</v>
      </c>
      <c r="N605" s="1">
        <f>financials[[#This Row],[Sales]]-financials[[#This Row],[Budget]]</f>
        <v>-85.608000000000175</v>
      </c>
      <c r="O605" s="10">
        <f>(financials[[#This Row],[Sales]]-financials[[#This Row],[Budget]])/financials[[#This Row],[Budget]]</f>
        <v>-1.9607843137254943E-2</v>
      </c>
      <c r="P605" s="6">
        <v>41913</v>
      </c>
      <c r="Q605" s="8">
        <v>10</v>
      </c>
      <c r="R605" s="5" t="s">
        <v>30</v>
      </c>
      <c r="S605" s="7" t="s">
        <v>15</v>
      </c>
    </row>
    <row r="606" spans="1:19" x14ac:dyDescent="0.25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1">
        <v>645909.75</v>
      </c>
      <c r="N606" s="1">
        <f>financials[[#This Row],[Sales]]-financials[[#This Row],[Budget]]</f>
        <v>33995.25</v>
      </c>
      <c r="O606" s="10">
        <f>(financials[[#This Row],[Sales]]-financials[[#This Row],[Budget]])/financials[[#This Row],[Budget]]</f>
        <v>5.2631578947368418E-2</v>
      </c>
      <c r="P606" s="6">
        <v>41579</v>
      </c>
      <c r="Q606" s="8">
        <v>11</v>
      </c>
      <c r="R606" s="5" t="s">
        <v>31</v>
      </c>
      <c r="S606" s="7" t="s">
        <v>14</v>
      </c>
    </row>
    <row r="607" spans="1:19" x14ac:dyDescent="0.25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1">
        <v>12056.320799999998</v>
      </c>
      <c r="N607" s="1">
        <f>financials[[#This Row],[Sales]]-financials[[#This Row],[Budget]]</f>
        <v>-1480.6007999999983</v>
      </c>
      <c r="O607" s="10">
        <f>(financials[[#This Row],[Sales]]-financials[[#This Row],[Budget]])/financials[[#This Row],[Budget]]</f>
        <v>-0.12280701754385953</v>
      </c>
      <c r="P607" s="6">
        <v>41974</v>
      </c>
      <c r="Q607" s="8">
        <v>12</v>
      </c>
      <c r="R607" s="5" t="s">
        <v>32</v>
      </c>
      <c r="S607" s="7" t="s">
        <v>15</v>
      </c>
    </row>
    <row r="608" spans="1:19" x14ac:dyDescent="0.25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1">
        <v>187644.86250000002</v>
      </c>
      <c r="N608" s="1">
        <f>financials[[#This Row],[Sales]]-financials[[#This Row],[Budget]]</f>
        <v>-15493.612500000017</v>
      </c>
      <c r="O608" s="10">
        <f>(financials[[#This Row],[Sales]]-financials[[#This Row],[Budget]])/financials[[#This Row],[Budget]]</f>
        <v>-8.2568807339449629E-2</v>
      </c>
      <c r="P608" s="6">
        <v>41791</v>
      </c>
      <c r="Q608" s="8">
        <v>6</v>
      </c>
      <c r="R608" s="5" t="s">
        <v>26</v>
      </c>
      <c r="S608" s="7" t="s">
        <v>15</v>
      </c>
    </row>
    <row r="609" spans="1:19" x14ac:dyDescent="0.25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1">
        <v>23486.737499999999</v>
      </c>
      <c r="N609" s="1">
        <f>financials[[#This Row],[Sales]]-financials[[#This Row],[Budget]]</f>
        <v>-3063.4874999999993</v>
      </c>
      <c r="O609" s="10">
        <f>(financials[[#This Row],[Sales]]-financials[[#This Row],[Budget]])/financials[[#This Row],[Budget]]</f>
        <v>-0.13043478260869562</v>
      </c>
      <c r="P609" s="6">
        <v>41913</v>
      </c>
      <c r="Q609" s="8">
        <v>10</v>
      </c>
      <c r="R609" s="5" t="s">
        <v>30</v>
      </c>
      <c r="S609" s="7" t="s">
        <v>15</v>
      </c>
    </row>
    <row r="610" spans="1:19" x14ac:dyDescent="0.25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1">
        <v>187632.9</v>
      </c>
      <c r="N610" s="1">
        <f>financials[[#This Row],[Sales]]-financials[[#This Row],[Budget]]</f>
        <v>-7216.6499999999942</v>
      </c>
      <c r="O610" s="10">
        <f>(financials[[#This Row],[Sales]]-financials[[#This Row],[Budget]])/financials[[#This Row],[Budget]]</f>
        <v>-3.8461538461538429E-2</v>
      </c>
      <c r="P610" s="6">
        <v>41640</v>
      </c>
      <c r="Q610" s="8">
        <v>1</v>
      </c>
      <c r="R610" s="5" t="s">
        <v>21</v>
      </c>
      <c r="S610" s="7" t="s">
        <v>15</v>
      </c>
    </row>
    <row r="611" spans="1:19" x14ac:dyDescent="0.25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1">
        <v>7102.1580000000004</v>
      </c>
      <c r="N611" s="1">
        <f>financials[[#This Row],[Sales]]-financials[[#This Row],[Budget]]</f>
        <v>144.94200000000001</v>
      </c>
      <c r="O611" s="10">
        <f>(financials[[#This Row],[Sales]]-financials[[#This Row],[Budget]])/financials[[#This Row],[Budget]]</f>
        <v>2.0408163265306121E-2</v>
      </c>
      <c r="P611" s="6">
        <v>41791</v>
      </c>
      <c r="Q611" s="8">
        <v>6</v>
      </c>
      <c r="R611" s="5" t="s">
        <v>26</v>
      </c>
      <c r="S611" s="7" t="s">
        <v>15</v>
      </c>
    </row>
    <row r="612" spans="1:19" x14ac:dyDescent="0.25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1">
        <v>3852.3599999999997</v>
      </c>
      <c r="N612" s="1">
        <f>financials[[#This Row],[Sales]]-financials[[#This Row],[Budget]]</f>
        <v>428.03999999999996</v>
      </c>
      <c r="O612" s="10">
        <f>(financials[[#This Row],[Sales]]-financials[[#This Row],[Budget]])/financials[[#This Row],[Budget]]</f>
        <v>0.1111111111111111</v>
      </c>
      <c r="P612" s="6">
        <v>41913</v>
      </c>
      <c r="Q612" s="8">
        <v>10</v>
      </c>
      <c r="R612" s="5" t="s">
        <v>30</v>
      </c>
      <c r="S612" s="7" t="s">
        <v>15</v>
      </c>
    </row>
    <row r="613" spans="1:19" x14ac:dyDescent="0.25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1">
        <v>18294.011999999999</v>
      </c>
      <c r="N613" s="1">
        <f>financials[[#This Row],[Sales]]-financials[[#This Row],[Budget]]</f>
        <v>184.78800000000047</v>
      </c>
      <c r="O613" s="10">
        <f>(financials[[#This Row],[Sales]]-financials[[#This Row],[Budget]])/financials[[#This Row],[Budget]]</f>
        <v>1.0101010101010128E-2</v>
      </c>
      <c r="P613" s="6">
        <v>41609</v>
      </c>
      <c r="Q613" s="8">
        <v>12</v>
      </c>
      <c r="R613" s="5" t="s">
        <v>32</v>
      </c>
      <c r="S613" s="7" t="s">
        <v>14</v>
      </c>
    </row>
    <row r="614" spans="1:19" x14ac:dyDescent="0.25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1">
        <v>48351.092000000004</v>
      </c>
      <c r="N614" s="1">
        <f>financials[[#This Row],[Sales]]-financials[[#This Row],[Budget]]</f>
        <v>-3992.2920000000013</v>
      </c>
      <c r="O614" s="10">
        <f>(financials[[#This Row],[Sales]]-financials[[#This Row],[Budget]])/financials[[#This Row],[Budget]]</f>
        <v>-8.256880733944956E-2</v>
      </c>
      <c r="P614" s="6">
        <v>41730</v>
      </c>
      <c r="Q614" s="8">
        <v>4</v>
      </c>
      <c r="R614" s="5" t="s">
        <v>24</v>
      </c>
      <c r="S614" s="7" t="s">
        <v>15</v>
      </c>
    </row>
    <row r="615" spans="1:19" x14ac:dyDescent="0.25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1">
        <v>32377.968000000001</v>
      </c>
      <c r="N615" s="1">
        <f>financials[[#This Row],[Sales]]-financials[[#This Row],[Budget]]</f>
        <v>-2398.3680000000022</v>
      </c>
      <c r="O615" s="10">
        <f>(financials[[#This Row],[Sales]]-financials[[#This Row],[Budget]])/financials[[#This Row],[Budget]]</f>
        <v>-7.4074074074074139E-2</v>
      </c>
      <c r="P615" s="6">
        <v>41760</v>
      </c>
      <c r="Q615" s="8">
        <v>5</v>
      </c>
      <c r="R615" s="5" t="s">
        <v>25</v>
      </c>
      <c r="S615" s="7" t="s">
        <v>15</v>
      </c>
    </row>
    <row r="616" spans="1:19" x14ac:dyDescent="0.25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1">
        <v>19839.511999999999</v>
      </c>
      <c r="N616" s="1">
        <f>financials[[#This Row],[Sales]]-financials[[#This Row],[Budget]]</f>
        <v>-1803.5920000000006</v>
      </c>
      <c r="O616" s="10">
        <f>(financials[[#This Row],[Sales]]-financials[[#This Row],[Budget]])/financials[[#This Row],[Budget]]</f>
        <v>-9.0909090909090939E-2</v>
      </c>
      <c r="P616" s="6">
        <v>41548</v>
      </c>
      <c r="Q616" s="8">
        <v>10</v>
      </c>
      <c r="R616" s="5" t="s">
        <v>30</v>
      </c>
      <c r="S616" s="7" t="s">
        <v>14</v>
      </c>
    </row>
    <row r="617" spans="1:19" x14ac:dyDescent="0.25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1">
        <v>1517.04</v>
      </c>
      <c r="N617" s="1">
        <f>financials[[#This Row],[Sales]]-financials[[#This Row],[Budget]]</f>
        <v>168.55999999999995</v>
      </c>
      <c r="O617" s="10">
        <f>(financials[[#This Row],[Sales]]-financials[[#This Row],[Budget]])/financials[[#This Row],[Budget]]</f>
        <v>0.11111111111111108</v>
      </c>
      <c r="P617" s="6">
        <v>41974</v>
      </c>
      <c r="Q617" s="8">
        <v>12</v>
      </c>
      <c r="R617" s="5" t="s">
        <v>32</v>
      </c>
      <c r="S617" s="7" t="s">
        <v>15</v>
      </c>
    </row>
    <row r="618" spans="1:19" x14ac:dyDescent="0.25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1">
        <v>1622.7512000000002</v>
      </c>
      <c r="N618" s="1">
        <f>financials[[#This Row],[Sales]]-financials[[#This Row],[Budget]]</f>
        <v>141.10879999999997</v>
      </c>
      <c r="O618" s="10">
        <f>(financials[[#This Row],[Sales]]-financials[[#This Row],[Budget]])/financials[[#This Row],[Budget]]</f>
        <v>8.6956521739130405E-2</v>
      </c>
      <c r="P618" s="6">
        <v>41671</v>
      </c>
      <c r="Q618" s="8">
        <v>2</v>
      </c>
      <c r="R618" s="5" t="s">
        <v>22</v>
      </c>
      <c r="S618" s="7" t="s">
        <v>15</v>
      </c>
    </row>
    <row r="619" spans="1:19" x14ac:dyDescent="0.25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1">
        <v>18937.716</v>
      </c>
      <c r="N619" s="1">
        <f>financials[[#This Row],[Sales]]-financials[[#This Row],[Budget]]</f>
        <v>-901.7960000000021</v>
      </c>
      <c r="O619" s="10">
        <f>(financials[[#This Row],[Sales]]-financials[[#This Row],[Budget]])/financials[[#This Row],[Budget]]</f>
        <v>-4.7619047619047727E-2</v>
      </c>
      <c r="P619" s="6">
        <v>41548</v>
      </c>
      <c r="Q619" s="8">
        <v>10</v>
      </c>
      <c r="R619" s="5" t="s">
        <v>30</v>
      </c>
      <c r="S619" s="7" t="s">
        <v>14</v>
      </c>
    </row>
    <row r="620" spans="1:19" x14ac:dyDescent="0.25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1">
        <v>4124.1299999999992</v>
      </c>
      <c r="N620" s="1">
        <f>financials[[#This Row],[Sales]]-financials[[#This Row],[Budget]]</f>
        <v>-537.92999999999938</v>
      </c>
      <c r="O620" s="10">
        <f>(financials[[#This Row],[Sales]]-financials[[#This Row],[Budget]])/financials[[#This Row],[Budget]]</f>
        <v>-0.13043478260869554</v>
      </c>
      <c r="P620" s="6">
        <v>41671</v>
      </c>
      <c r="Q620" s="8">
        <v>2</v>
      </c>
      <c r="R620" s="5" t="s">
        <v>22</v>
      </c>
      <c r="S620" s="7" t="s">
        <v>15</v>
      </c>
    </row>
    <row r="621" spans="1:19" x14ac:dyDescent="0.25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1">
        <v>45937.760000000002</v>
      </c>
      <c r="N621" s="1">
        <f>financials[[#This Row],[Sales]]-financials[[#This Row],[Budget]]</f>
        <v>-4176.1600000000035</v>
      </c>
      <c r="O621" s="10">
        <f>(financials[[#This Row],[Sales]]-financials[[#This Row],[Budget]])/financials[[#This Row],[Budget]]</f>
        <v>-9.0909090909090981E-2</v>
      </c>
      <c r="P621" s="6">
        <v>41699</v>
      </c>
      <c r="Q621" s="8">
        <v>3</v>
      </c>
      <c r="R621" s="5" t="s">
        <v>23</v>
      </c>
      <c r="S621" s="7" t="s">
        <v>15</v>
      </c>
    </row>
    <row r="622" spans="1:19" x14ac:dyDescent="0.25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1">
        <v>21654.584999999999</v>
      </c>
      <c r="N622" s="1">
        <f>financials[[#This Row],[Sales]]-financials[[#This Row],[Budget]]</f>
        <v>1139.7150000000001</v>
      </c>
      <c r="O622" s="10">
        <f>(financials[[#This Row],[Sales]]-financials[[#This Row],[Budget]])/financials[[#This Row],[Budget]]</f>
        <v>5.2631578947368432E-2</v>
      </c>
      <c r="P622" s="6">
        <v>41883</v>
      </c>
      <c r="Q622" s="8">
        <v>9</v>
      </c>
      <c r="R622" s="5" t="s">
        <v>29</v>
      </c>
      <c r="S622" s="7" t="s">
        <v>15</v>
      </c>
    </row>
    <row r="623" spans="1:19" x14ac:dyDescent="0.25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1">
        <v>15669.578400000002</v>
      </c>
      <c r="N623" s="1">
        <f>financials[[#This Row],[Sales]]-financials[[#This Row],[Budget]]</f>
        <v>-1293.8184000000019</v>
      </c>
      <c r="O623" s="10">
        <f>(financials[[#This Row],[Sales]]-financials[[#This Row],[Budget]])/financials[[#This Row],[Budget]]</f>
        <v>-8.2568807339449657E-2</v>
      </c>
      <c r="P623" s="6">
        <v>41913</v>
      </c>
      <c r="Q623" s="8">
        <v>10</v>
      </c>
      <c r="R623" s="5" t="s">
        <v>30</v>
      </c>
      <c r="S623" s="7" t="s">
        <v>15</v>
      </c>
    </row>
    <row r="624" spans="1:19" x14ac:dyDescent="0.25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1">
        <v>1820.4480000000001</v>
      </c>
      <c r="N624" s="1">
        <f>financials[[#This Row],[Sales]]-financials[[#This Row],[Budget]]</f>
        <v>-134.84800000000018</v>
      </c>
      <c r="O624" s="10">
        <f>(financials[[#This Row],[Sales]]-financials[[#This Row],[Budget]])/financials[[#This Row],[Budget]]</f>
        <v>-7.4074074074074167E-2</v>
      </c>
      <c r="P624" s="6">
        <v>41974</v>
      </c>
      <c r="Q624" s="8">
        <v>12</v>
      </c>
      <c r="R624" s="5" t="s">
        <v>32</v>
      </c>
      <c r="S624" s="7" t="s">
        <v>15</v>
      </c>
    </row>
    <row r="625" spans="1:19" x14ac:dyDescent="0.25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1">
        <v>13800.729600000001</v>
      </c>
      <c r="N625" s="1">
        <f>financials[[#This Row],[Sales]]-financials[[#This Row],[Budget]]</f>
        <v>575.03039999999964</v>
      </c>
      <c r="O625" s="10">
        <f>(financials[[#This Row],[Sales]]-financials[[#This Row],[Budget]])/financials[[#This Row],[Budget]]</f>
        <v>4.1666666666666637E-2</v>
      </c>
      <c r="P625" s="6">
        <v>41913</v>
      </c>
      <c r="Q625" s="8">
        <v>10</v>
      </c>
      <c r="R625" s="5" t="s">
        <v>30</v>
      </c>
      <c r="S625" s="7" t="s">
        <v>15</v>
      </c>
    </row>
    <row r="626" spans="1:19" x14ac:dyDescent="0.25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1">
        <v>19131.216</v>
      </c>
      <c r="N626" s="1">
        <f>financials[[#This Row],[Sales]]-financials[[#This Row],[Budget]]</f>
        <v>1663.5839999999989</v>
      </c>
      <c r="O626" s="10">
        <f>(financials[[#This Row],[Sales]]-financials[[#This Row],[Budget]])/financials[[#This Row],[Budget]]</f>
        <v>8.6956521739130377E-2</v>
      </c>
      <c r="P626" s="6">
        <v>41609</v>
      </c>
      <c r="Q626" s="8">
        <v>12</v>
      </c>
      <c r="R626" s="5" t="s">
        <v>32</v>
      </c>
      <c r="S626" s="7" t="s">
        <v>14</v>
      </c>
    </row>
    <row r="627" spans="1:19" x14ac:dyDescent="0.25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1">
        <v>200458.25999999998</v>
      </c>
      <c r="N627" s="1">
        <f>financials[[#This Row],[Sales]]-financials[[#This Row],[Budget]]</f>
        <v>6199.7400000000198</v>
      </c>
      <c r="O627" s="10">
        <f>(financials[[#This Row],[Sales]]-financials[[#This Row],[Budget]])/financials[[#This Row],[Budget]]</f>
        <v>3.0927835051546494E-2</v>
      </c>
      <c r="P627" s="6">
        <v>41821</v>
      </c>
      <c r="Q627" s="8">
        <v>7</v>
      </c>
      <c r="R627" s="5" t="s">
        <v>27</v>
      </c>
      <c r="S627" s="7" t="s">
        <v>15</v>
      </c>
    </row>
    <row r="628" spans="1:19" x14ac:dyDescent="0.25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1">
        <v>126468.37499999999</v>
      </c>
      <c r="N628" s="1">
        <f>financials[[#This Row],[Sales]]-financials[[#This Row],[Budget]]</f>
        <v>-16495.874999999985</v>
      </c>
      <c r="O628" s="10">
        <f>(financials[[#This Row],[Sales]]-financials[[#This Row],[Budget]])/financials[[#This Row],[Budget]]</f>
        <v>-0.13043478260869557</v>
      </c>
      <c r="P628" s="6">
        <v>41518</v>
      </c>
      <c r="Q628" s="8">
        <v>9</v>
      </c>
      <c r="R628" s="5" t="s">
        <v>29</v>
      </c>
      <c r="S628" s="7" t="s">
        <v>14</v>
      </c>
    </row>
    <row r="629" spans="1:19" x14ac:dyDescent="0.25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1">
        <v>358950.24</v>
      </c>
      <c r="N629" s="1">
        <f>financials[[#This Row],[Sales]]-financials[[#This Row],[Budget]]</f>
        <v>27017.760000000009</v>
      </c>
      <c r="O629" s="10">
        <f>(financials[[#This Row],[Sales]]-financials[[#This Row],[Budget]])/financials[[#This Row],[Budget]]</f>
        <v>7.5268817204301106E-2</v>
      </c>
      <c r="P629" s="6">
        <v>41913</v>
      </c>
      <c r="Q629" s="8">
        <v>10</v>
      </c>
      <c r="R629" s="5" t="s">
        <v>30</v>
      </c>
      <c r="S629" s="7" t="s">
        <v>15</v>
      </c>
    </row>
    <row r="630" spans="1:19" x14ac:dyDescent="0.25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1">
        <v>244945.19999999998</v>
      </c>
      <c r="N630" s="1">
        <f>financials[[#This Row],[Sales]]-financials[[#This Row],[Budget]]</f>
        <v>15634.800000000017</v>
      </c>
      <c r="O630" s="10">
        <f>(financials[[#This Row],[Sales]]-financials[[#This Row],[Budget]])/financials[[#This Row],[Budget]]</f>
        <v>6.3829787234042631E-2</v>
      </c>
      <c r="P630" s="6">
        <v>41913</v>
      </c>
      <c r="Q630" s="8">
        <v>10</v>
      </c>
      <c r="R630" s="5" t="s">
        <v>30</v>
      </c>
      <c r="S630" s="7" t="s">
        <v>15</v>
      </c>
    </row>
    <row r="631" spans="1:19" x14ac:dyDescent="0.25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1">
        <v>18541.814999999999</v>
      </c>
      <c r="N631" s="1">
        <f>financials[[#This Row],[Sales]]-financials[[#This Row],[Budget]]</f>
        <v>975.88500000000204</v>
      </c>
      <c r="O631" s="10">
        <f>(financials[[#This Row],[Sales]]-financials[[#This Row],[Budget]])/financials[[#This Row],[Budget]]</f>
        <v>5.2631578947368536E-2</v>
      </c>
      <c r="P631" s="6">
        <v>41944</v>
      </c>
      <c r="Q631" s="8">
        <v>11</v>
      </c>
      <c r="R631" s="5" t="s">
        <v>31</v>
      </c>
      <c r="S631" s="7" t="s">
        <v>15</v>
      </c>
    </row>
    <row r="632" spans="1:19" x14ac:dyDescent="0.25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1">
        <v>30856.799999999999</v>
      </c>
      <c r="N632" s="1">
        <f>financials[[#This Row],[Sales]]-financials[[#This Row],[Budget]]</f>
        <v>-1186.7999999999993</v>
      </c>
      <c r="O632" s="10">
        <f>(financials[[#This Row],[Sales]]-financials[[#This Row],[Budget]])/financials[[#This Row],[Budget]]</f>
        <v>-3.8461538461538436E-2</v>
      </c>
      <c r="P632" s="6">
        <v>41974</v>
      </c>
      <c r="Q632" s="8">
        <v>12</v>
      </c>
      <c r="R632" s="5" t="s">
        <v>32</v>
      </c>
      <c r="S632" s="7" t="s">
        <v>15</v>
      </c>
    </row>
    <row r="633" spans="1:19" x14ac:dyDescent="0.25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1">
        <v>309322.65000000002</v>
      </c>
      <c r="N633" s="1">
        <f>financials[[#This Row],[Sales]]-financials[[#This Row],[Budget]]</f>
        <v>-6065.1500000000233</v>
      </c>
      <c r="O633" s="10">
        <f>(financials[[#This Row],[Sales]]-financials[[#This Row],[Budget]])/financials[[#This Row],[Budget]]</f>
        <v>-1.9607843137254975E-2</v>
      </c>
      <c r="P633" s="6">
        <v>41609</v>
      </c>
      <c r="Q633" s="8">
        <v>12</v>
      </c>
      <c r="R633" s="5" t="s">
        <v>32</v>
      </c>
      <c r="S633" s="7" t="s">
        <v>14</v>
      </c>
    </row>
    <row r="634" spans="1:19" x14ac:dyDescent="0.25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1">
        <v>583315.42500000005</v>
      </c>
      <c r="N634" s="1">
        <f>financials[[#This Row],[Sales]]-financials[[#This Row],[Budget]]</f>
        <v>87162.074999999953</v>
      </c>
      <c r="O634" s="10">
        <f>(financials[[#This Row],[Sales]]-financials[[#This Row],[Budget]])/financials[[#This Row],[Budget]]</f>
        <v>0.14942528735632174</v>
      </c>
      <c r="P634" s="6">
        <v>41640</v>
      </c>
      <c r="Q634" s="8">
        <v>1</v>
      </c>
      <c r="R634" s="5" t="s">
        <v>21</v>
      </c>
      <c r="S634" s="7" t="s">
        <v>15</v>
      </c>
    </row>
    <row r="635" spans="1:19" x14ac:dyDescent="0.25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1">
        <v>378943.95</v>
      </c>
      <c r="N635" s="1">
        <f>financials[[#This Row],[Sales]]-financials[[#This Row],[Budget]]</f>
        <v>-18044.950000000012</v>
      </c>
      <c r="O635" s="10">
        <f>(financials[[#This Row],[Sales]]-financials[[#This Row],[Budget]])/financials[[#This Row],[Budget]]</f>
        <v>-4.7619047619047651E-2</v>
      </c>
      <c r="P635" s="6">
        <v>41730</v>
      </c>
      <c r="Q635" s="8">
        <v>4</v>
      </c>
      <c r="R635" s="5" t="s">
        <v>24</v>
      </c>
      <c r="S635" s="7" t="s">
        <v>15</v>
      </c>
    </row>
    <row r="636" spans="1:19" x14ac:dyDescent="0.25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1">
        <v>65016.000000000007</v>
      </c>
      <c r="N636" s="1">
        <f>financials[[#This Row],[Sales]]-financials[[#This Row],[Budget]]</f>
        <v>-4816.0000000000073</v>
      </c>
      <c r="O636" s="10">
        <f>(financials[[#This Row],[Sales]]-financials[[#This Row],[Budget]])/financials[[#This Row],[Budget]]</f>
        <v>-7.4074074074074181E-2</v>
      </c>
      <c r="P636" s="6">
        <v>41760</v>
      </c>
      <c r="Q636" s="8">
        <v>5</v>
      </c>
      <c r="R636" s="5" t="s">
        <v>25</v>
      </c>
      <c r="S636" s="7" t="s">
        <v>15</v>
      </c>
    </row>
    <row r="637" spans="1:19" x14ac:dyDescent="0.25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1">
        <v>2335.7600000000002</v>
      </c>
      <c r="N637" s="1">
        <f>financials[[#This Row],[Sales]]-financials[[#This Row],[Budget]]</f>
        <v>0</v>
      </c>
      <c r="O637" s="10">
        <f>(financials[[#This Row],[Sales]]-financials[[#This Row],[Budget]])/financials[[#This Row],[Budget]]</f>
        <v>0</v>
      </c>
      <c r="P637" s="6">
        <v>41883</v>
      </c>
      <c r="Q637" s="8">
        <v>9</v>
      </c>
      <c r="R637" s="5" t="s">
        <v>29</v>
      </c>
      <c r="S637" s="7" t="s">
        <v>15</v>
      </c>
    </row>
    <row r="638" spans="1:19" x14ac:dyDescent="0.25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1">
        <v>10812.401600000001</v>
      </c>
      <c r="N638" s="1">
        <f>financials[[#This Row],[Sales]]-financials[[#This Row],[Budget]]</f>
        <v>-415.86160000000018</v>
      </c>
      <c r="O638" s="10">
        <f>(financials[[#This Row],[Sales]]-financials[[#This Row],[Budget]])/financials[[#This Row],[Budget]]</f>
        <v>-3.8461538461538478E-2</v>
      </c>
      <c r="P638" s="6">
        <v>41548</v>
      </c>
      <c r="Q638" s="8">
        <v>10</v>
      </c>
      <c r="R638" s="5" t="s">
        <v>30</v>
      </c>
      <c r="S638" s="7" t="s">
        <v>14</v>
      </c>
    </row>
    <row r="639" spans="1:19" x14ac:dyDescent="0.25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1">
        <v>29966.7</v>
      </c>
      <c r="N639" s="1">
        <f>financials[[#This Row],[Sales]]-financials[[#This Row],[Budget]]</f>
        <v>-296.70000000000073</v>
      </c>
      <c r="O639" s="10">
        <f>(financials[[#This Row],[Sales]]-financials[[#This Row],[Budget]])/financials[[#This Row],[Budget]]</f>
        <v>-9.9009900990099254E-3</v>
      </c>
      <c r="P639" s="6">
        <v>41974</v>
      </c>
      <c r="Q639" s="8">
        <v>12</v>
      </c>
      <c r="R639" s="5" t="s">
        <v>32</v>
      </c>
      <c r="S639" s="7" t="s">
        <v>15</v>
      </c>
    </row>
    <row r="640" spans="1:19" x14ac:dyDescent="0.25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1">
        <v>3980.08</v>
      </c>
      <c r="N640" s="1">
        <f>financials[[#This Row],[Sales]]-financials[[#This Row],[Budget]]</f>
        <v>491.92000000000007</v>
      </c>
      <c r="O640" s="10">
        <f>(financials[[#This Row],[Sales]]-financials[[#This Row],[Budget]])/financials[[#This Row],[Budget]]</f>
        <v>0.12359550561797755</v>
      </c>
      <c r="P640" s="6">
        <v>41671</v>
      </c>
      <c r="Q640" s="8">
        <v>2</v>
      </c>
      <c r="R640" s="5" t="s">
        <v>22</v>
      </c>
      <c r="S640" s="7" t="s">
        <v>15</v>
      </c>
    </row>
    <row r="641" spans="1:19" x14ac:dyDescent="0.25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1">
        <v>27083.55</v>
      </c>
      <c r="N641" s="1">
        <f>financials[[#This Row],[Sales]]-financials[[#This Row],[Budget]]</f>
        <v>4779.4500000000007</v>
      </c>
      <c r="O641" s="10">
        <f>(financials[[#This Row],[Sales]]-financials[[#This Row],[Budget]])/financials[[#This Row],[Budget]]</f>
        <v>0.17647058823529416</v>
      </c>
      <c r="P641" s="6">
        <v>41518</v>
      </c>
      <c r="Q641" s="8">
        <v>9</v>
      </c>
      <c r="R641" s="5" t="s">
        <v>29</v>
      </c>
      <c r="S641" s="7" t="s">
        <v>14</v>
      </c>
    </row>
    <row r="642" spans="1:19" x14ac:dyDescent="0.25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1">
        <v>23608.935000000001</v>
      </c>
      <c r="N642" s="1">
        <f>financials[[#This Row],[Sales]]-financials[[#This Row],[Budget]]</f>
        <v>-1124.2350000000006</v>
      </c>
      <c r="O642" s="10">
        <f>(financials[[#This Row],[Sales]]-financials[[#This Row],[Budget]])/financials[[#This Row],[Budget]]</f>
        <v>-4.7619047619047644E-2</v>
      </c>
      <c r="P642" s="6">
        <v>41548</v>
      </c>
      <c r="Q642" s="8">
        <v>10</v>
      </c>
      <c r="R642" s="5" t="s">
        <v>30</v>
      </c>
      <c r="S642" s="7" t="s">
        <v>14</v>
      </c>
    </row>
    <row r="643" spans="1:19" x14ac:dyDescent="0.25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1">
        <v>30673.929599999999</v>
      </c>
      <c r="N643" s="1">
        <f>financials[[#This Row],[Sales]]-financials[[#This Row],[Budget]]</f>
        <v>-601.44959999999992</v>
      </c>
      <c r="O643" s="10">
        <f>(financials[[#This Row],[Sales]]-financials[[#This Row],[Budget]])/financials[[#This Row],[Budget]]</f>
        <v>-1.9607843137254898E-2</v>
      </c>
      <c r="P643" s="6">
        <v>41913</v>
      </c>
      <c r="Q643" s="8">
        <v>10</v>
      </c>
      <c r="R643" s="5" t="s">
        <v>30</v>
      </c>
      <c r="S643" s="7" t="s">
        <v>15</v>
      </c>
    </row>
    <row r="644" spans="1:19" x14ac:dyDescent="0.25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1">
        <v>11150.063399999999</v>
      </c>
      <c r="N644" s="1">
        <f>financials[[#This Row],[Sales]]-financials[[#This Row],[Budget]]</f>
        <v>-729.44340000000011</v>
      </c>
      <c r="O644" s="10">
        <f>(financials[[#This Row],[Sales]]-financials[[#This Row],[Budget]])/financials[[#This Row],[Budget]]</f>
        <v>-6.5420560747663573E-2</v>
      </c>
      <c r="P644" s="6">
        <v>41913</v>
      </c>
      <c r="Q644" s="8">
        <v>10</v>
      </c>
      <c r="R644" s="5" t="s">
        <v>30</v>
      </c>
      <c r="S644" s="7" t="s">
        <v>15</v>
      </c>
    </row>
    <row r="645" spans="1:19" x14ac:dyDescent="0.25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1">
        <v>206486</v>
      </c>
      <c r="N645" s="1">
        <f>financials[[#This Row],[Sales]]-financials[[#This Row],[Budget]]</f>
        <v>4214</v>
      </c>
      <c r="O645" s="10">
        <f>(financials[[#This Row],[Sales]]-financials[[#This Row],[Budget]])/financials[[#This Row],[Budget]]</f>
        <v>2.0408163265306121E-2</v>
      </c>
      <c r="P645" s="6">
        <v>41944</v>
      </c>
      <c r="Q645" s="8">
        <v>11</v>
      </c>
      <c r="R645" s="5" t="s">
        <v>31</v>
      </c>
      <c r="S645" s="7" t="s">
        <v>15</v>
      </c>
    </row>
    <row r="646" spans="1:19" x14ac:dyDescent="0.25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1">
        <v>24306.902400000003</v>
      </c>
      <c r="N646" s="1">
        <f>financials[[#This Row],[Sales]]-financials[[#This Row],[Budget]]</f>
        <v>-1375.8624000000018</v>
      </c>
      <c r="O646" s="10">
        <f>(financials[[#This Row],[Sales]]-financials[[#This Row],[Budget]])/financials[[#This Row],[Budget]]</f>
        <v>-5.6603773584905731E-2</v>
      </c>
      <c r="P646" s="6">
        <v>41579</v>
      </c>
      <c r="Q646" s="8">
        <v>11</v>
      </c>
      <c r="R646" s="5" t="s">
        <v>31</v>
      </c>
      <c r="S646" s="7" t="s">
        <v>14</v>
      </c>
    </row>
    <row r="647" spans="1:19" x14ac:dyDescent="0.25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1">
        <v>315306.53000000003</v>
      </c>
      <c r="N647" s="1">
        <f>financials[[#This Row],[Sales]]-financials[[#This Row],[Budget]]</f>
        <v>38970.469999999972</v>
      </c>
      <c r="O647" s="10">
        <f>(financials[[#This Row],[Sales]]-financials[[#This Row],[Budget]])/financials[[#This Row],[Budget]]</f>
        <v>0.12359550561797743</v>
      </c>
      <c r="P647" s="6">
        <v>41944</v>
      </c>
      <c r="Q647" s="8">
        <v>11</v>
      </c>
      <c r="R647" s="5" t="s">
        <v>31</v>
      </c>
      <c r="S647" s="7" t="s">
        <v>15</v>
      </c>
    </row>
    <row r="648" spans="1:19" x14ac:dyDescent="0.25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1">
        <v>619018.54</v>
      </c>
      <c r="N648" s="1">
        <f>financials[[#This Row],[Sales]]-financials[[#This Row],[Budget]]</f>
        <v>-40496.540000000037</v>
      </c>
      <c r="O648" s="10">
        <f>(financials[[#This Row],[Sales]]-financials[[#This Row],[Budget]])/financials[[#This Row],[Budget]]</f>
        <v>-6.5420560747663614E-2</v>
      </c>
      <c r="P648" s="6">
        <v>41579</v>
      </c>
      <c r="Q648" s="8">
        <v>11</v>
      </c>
      <c r="R648" s="5" t="s">
        <v>31</v>
      </c>
      <c r="S648" s="7" t="s">
        <v>14</v>
      </c>
    </row>
    <row r="649" spans="1:19" x14ac:dyDescent="0.25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1">
        <v>171005.625</v>
      </c>
      <c r="N649" s="1">
        <f>financials[[#This Row],[Sales]]-financials[[#This Row],[Budget]]</f>
        <v>-1693.125</v>
      </c>
      <c r="O649" s="10">
        <f>(financials[[#This Row],[Sales]]-financials[[#This Row],[Budget]])/financials[[#This Row],[Budget]]</f>
        <v>-9.9009900990099011E-3</v>
      </c>
      <c r="P649" s="6">
        <v>41671</v>
      </c>
      <c r="Q649" s="8">
        <v>2</v>
      </c>
      <c r="R649" s="5" t="s">
        <v>22</v>
      </c>
      <c r="S649" s="7" t="s">
        <v>15</v>
      </c>
    </row>
    <row r="650" spans="1:19" x14ac:dyDescent="0.25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1">
        <v>9068.1840000000011</v>
      </c>
      <c r="N650" s="1">
        <f>financials[[#This Row],[Sales]]-financials[[#This Row],[Budget]]</f>
        <v>1355.0159999999996</v>
      </c>
      <c r="O650" s="10">
        <f>(financials[[#This Row],[Sales]]-financials[[#This Row],[Budget]])/financials[[#This Row],[Budget]]</f>
        <v>0.14942528735632177</v>
      </c>
      <c r="P650" s="6">
        <v>41730</v>
      </c>
      <c r="Q650" s="8">
        <v>4</v>
      </c>
      <c r="R650" s="5" t="s">
        <v>24</v>
      </c>
      <c r="S650" s="7" t="s">
        <v>15</v>
      </c>
    </row>
    <row r="651" spans="1:19" x14ac:dyDescent="0.25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1">
        <v>647373.6</v>
      </c>
      <c r="N651" s="1">
        <f>financials[[#This Row],[Sales]]-financials[[#This Row],[Budget]]</f>
        <v>-12693.599999999977</v>
      </c>
      <c r="O651" s="10">
        <f>(financials[[#This Row],[Sales]]-financials[[#This Row],[Budget]])/financials[[#This Row],[Budget]]</f>
        <v>-1.9607843137254867E-2</v>
      </c>
      <c r="P651" s="6">
        <v>41821</v>
      </c>
      <c r="Q651" s="8">
        <v>7</v>
      </c>
      <c r="R651" s="5" t="s">
        <v>27</v>
      </c>
      <c r="S651" s="7" t="s">
        <v>15</v>
      </c>
    </row>
    <row r="652" spans="1:19" x14ac:dyDescent="0.25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1">
        <v>69402</v>
      </c>
      <c r="N652" s="1">
        <f>financials[[#This Row],[Sales]]-financials[[#This Row],[Budget]]</f>
        <v>0</v>
      </c>
      <c r="O652" s="10">
        <f>(financials[[#This Row],[Sales]]-financials[[#This Row],[Budget]])/financials[[#This Row],[Budget]]</f>
        <v>0</v>
      </c>
      <c r="P652" s="6">
        <v>41548</v>
      </c>
      <c r="Q652" s="8">
        <v>10</v>
      </c>
      <c r="R652" s="5" t="s">
        <v>30</v>
      </c>
      <c r="S652" s="7" t="s">
        <v>14</v>
      </c>
    </row>
    <row r="653" spans="1:19" x14ac:dyDescent="0.25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1">
        <v>739345.44</v>
      </c>
      <c r="N653" s="1">
        <f>financials[[#This Row],[Sales]]-financials[[#This Row],[Budget]]</f>
        <v>-85057.439999999944</v>
      </c>
      <c r="O653" s="10">
        <f>(financials[[#This Row],[Sales]]-financials[[#This Row],[Budget]])/financials[[#This Row],[Budget]]</f>
        <v>-0.11504424778761055</v>
      </c>
      <c r="P653" s="6">
        <v>41579</v>
      </c>
      <c r="Q653" s="8">
        <v>11</v>
      </c>
      <c r="R653" s="5" t="s">
        <v>31</v>
      </c>
      <c r="S653" s="7" t="s">
        <v>14</v>
      </c>
    </row>
    <row r="654" spans="1:19" x14ac:dyDescent="0.25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1">
        <v>15204.172200000001</v>
      </c>
      <c r="N654" s="1">
        <f>financials[[#This Row],[Sales]]-financials[[#This Row],[Budget]]</f>
        <v>2271.8878000000004</v>
      </c>
      <c r="O654" s="10">
        <f>(financials[[#This Row],[Sales]]-financials[[#This Row],[Budget]])/financials[[#This Row],[Budget]]</f>
        <v>0.14942528735632185</v>
      </c>
      <c r="P654" s="6">
        <v>41699</v>
      </c>
      <c r="Q654" s="8">
        <v>3</v>
      </c>
      <c r="R654" s="5" t="s">
        <v>23</v>
      </c>
      <c r="S654" s="7" t="s">
        <v>15</v>
      </c>
    </row>
    <row r="655" spans="1:19" x14ac:dyDescent="0.25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1">
        <v>563797.07999999996</v>
      </c>
      <c r="N655" s="1">
        <f>financials[[#This Row],[Sales]]-financials[[#This Row],[Budget]]</f>
        <v>91780.920000000042</v>
      </c>
      <c r="O655" s="10">
        <f>(financials[[#This Row],[Sales]]-financials[[#This Row],[Budget]])/financials[[#This Row],[Budget]]</f>
        <v>0.1627906976744187</v>
      </c>
      <c r="P655" s="6">
        <v>41852</v>
      </c>
      <c r="Q655" s="8">
        <v>8</v>
      </c>
      <c r="R655" s="5" t="s">
        <v>28</v>
      </c>
      <c r="S655" s="7" t="s">
        <v>15</v>
      </c>
    </row>
    <row r="656" spans="1:19" x14ac:dyDescent="0.25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1">
        <v>78424.259999999995</v>
      </c>
      <c r="N656" s="1">
        <f>financials[[#This Row],[Sales]]-financials[[#This Row],[Budget]]</f>
        <v>-9022.2599999999948</v>
      </c>
      <c r="O656" s="10">
        <f>(financials[[#This Row],[Sales]]-financials[[#This Row],[Budget]])/financials[[#This Row],[Budget]]</f>
        <v>-0.11504424778761056</v>
      </c>
      <c r="P656" s="6">
        <v>41548</v>
      </c>
      <c r="Q656" s="8">
        <v>10</v>
      </c>
      <c r="R656" s="5" t="s">
        <v>30</v>
      </c>
      <c r="S656" s="7" t="s">
        <v>14</v>
      </c>
    </row>
    <row r="657" spans="1:19" x14ac:dyDescent="0.25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1">
        <v>335792.16</v>
      </c>
      <c r="N657" s="1">
        <f>financials[[#This Row],[Sales]]-financials[[#This Row],[Budget]]</f>
        <v>50175.840000000026</v>
      </c>
      <c r="O657" s="10">
        <f>(financials[[#This Row],[Sales]]-financials[[#This Row],[Budget]])/financials[[#This Row],[Budget]]</f>
        <v>0.14942528735632193</v>
      </c>
      <c r="P657" s="6">
        <v>41913</v>
      </c>
      <c r="Q657" s="8">
        <v>10</v>
      </c>
      <c r="R657" s="5" t="s">
        <v>30</v>
      </c>
      <c r="S657" s="7" t="s">
        <v>15</v>
      </c>
    </row>
    <row r="658" spans="1:19" x14ac:dyDescent="0.25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1">
        <v>297061.19999999995</v>
      </c>
      <c r="N658" s="1">
        <f>financials[[#This Row],[Sales]]-financials[[#This Row],[Budget]]</f>
        <v>-36481.199999999953</v>
      </c>
      <c r="O658" s="10">
        <f>(financials[[#This Row],[Sales]]-financials[[#This Row],[Budget]])/financials[[#This Row],[Budget]]</f>
        <v>-0.12280701754385952</v>
      </c>
      <c r="P658" s="6">
        <v>41913</v>
      </c>
      <c r="Q658" s="8">
        <v>10</v>
      </c>
      <c r="R658" s="5" t="s">
        <v>30</v>
      </c>
      <c r="S658" s="7" t="s">
        <v>15</v>
      </c>
    </row>
    <row r="659" spans="1:19" x14ac:dyDescent="0.25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1">
        <v>401004.24</v>
      </c>
      <c r="N659" s="1">
        <f>financials[[#This Row],[Sales]]-financials[[#This Row],[Budget]]</f>
        <v>-15423.239999999991</v>
      </c>
      <c r="O659" s="10">
        <f>(financials[[#This Row],[Sales]]-financials[[#This Row],[Budget]])/financials[[#This Row],[Budget]]</f>
        <v>-3.8461538461538436E-2</v>
      </c>
      <c r="P659" s="6">
        <v>41609</v>
      </c>
      <c r="Q659" s="8">
        <v>12</v>
      </c>
      <c r="R659" s="5" t="s">
        <v>32</v>
      </c>
      <c r="S659" s="7" t="s">
        <v>14</v>
      </c>
    </row>
    <row r="660" spans="1:19" x14ac:dyDescent="0.25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1">
        <v>252014.40000000002</v>
      </c>
      <c r="N660" s="1">
        <f>financials[[#This Row],[Sales]]-financials[[#This Row],[Budget]]</f>
        <v>-22910.400000000023</v>
      </c>
      <c r="O660" s="10">
        <f>(financials[[#This Row],[Sales]]-financials[[#This Row],[Budget]])/financials[[#This Row],[Budget]]</f>
        <v>-9.0909090909090995E-2</v>
      </c>
      <c r="P660" s="6">
        <v>41699</v>
      </c>
      <c r="Q660" s="8">
        <v>3</v>
      </c>
      <c r="R660" s="5" t="s">
        <v>23</v>
      </c>
      <c r="S660" s="7" t="s">
        <v>15</v>
      </c>
    </row>
    <row r="661" spans="1:19" x14ac:dyDescent="0.25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1">
        <v>308787.3</v>
      </c>
      <c r="N661" s="1">
        <f>financials[[#This Row],[Sales]]-financials[[#This Row],[Budget]]</f>
        <v>-3057.2999999999884</v>
      </c>
      <c r="O661" s="10">
        <f>(financials[[#This Row],[Sales]]-financials[[#This Row],[Budget]])/financials[[#This Row],[Budget]]</f>
        <v>-9.9009900990098629E-3</v>
      </c>
      <c r="P661" s="6">
        <v>41760</v>
      </c>
      <c r="Q661" s="8">
        <v>5</v>
      </c>
      <c r="R661" s="5" t="s">
        <v>25</v>
      </c>
      <c r="S661" s="7" t="s">
        <v>15</v>
      </c>
    </row>
    <row r="662" spans="1:19" x14ac:dyDescent="0.25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1">
        <v>27840.780000000002</v>
      </c>
      <c r="N662" s="1">
        <f>financials[[#This Row],[Sales]]-financials[[#This Row],[Budget]]</f>
        <v>-2298.7800000000025</v>
      </c>
      <c r="O662" s="10">
        <f>(financials[[#This Row],[Sales]]-financials[[#This Row],[Budget]])/financials[[#This Row],[Budget]]</f>
        <v>-8.2568807339449629E-2</v>
      </c>
      <c r="P662" s="6">
        <v>41852</v>
      </c>
      <c r="Q662" s="8">
        <v>8</v>
      </c>
      <c r="R662" s="5" t="s">
        <v>28</v>
      </c>
      <c r="S662" s="7" t="s">
        <v>15</v>
      </c>
    </row>
    <row r="663" spans="1:19" x14ac:dyDescent="0.25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1">
        <v>23833.782000000003</v>
      </c>
      <c r="N663" s="1">
        <f>financials[[#This Row],[Sales]]-financials[[#This Row],[Budget]]</f>
        <v>-1349.0820000000022</v>
      </c>
      <c r="O663" s="10">
        <f>(financials[[#This Row],[Sales]]-financials[[#This Row],[Budget]])/financials[[#This Row],[Budget]]</f>
        <v>-5.6603773584905745E-2</v>
      </c>
      <c r="P663" s="6">
        <v>41548</v>
      </c>
      <c r="Q663" s="8">
        <v>10</v>
      </c>
      <c r="R663" s="5" t="s">
        <v>30</v>
      </c>
      <c r="S663" s="7" t="s">
        <v>14</v>
      </c>
    </row>
    <row r="664" spans="1:19" x14ac:dyDescent="0.25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1">
        <v>32177.553600000003</v>
      </c>
      <c r="N664" s="1">
        <f>financials[[#This Row],[Sales]]-financials[[#This Row],[Budget]]</f>
        <v>-2105.0736000000034</v>
      </c>
      <c r="O664" s="10">
        <f>(financials[[#This Row],[Sales]]-financials[[#This Row],[Budget]])/financials[[#This Row],[Budget]]</f>
        <v>-6.5420560747663656E-2</v>
      </c>
      <c r="P664" s="6">
        <v>41913</v>
      </c>
      <c r="Q664" s="8">
        <v>10</v>
      </c>
      <c r="R664" s="5" t="s">
        <v>30</v>
      </c>
      <c r="S664" s="7" t="s">
        <v>15</v>
      </c>
    </row>
    <row r="665" spans="1:19" x14ac:dyDescent="0.25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1">
        <v>9482.7641999999996</v>
      </c>
      <c r="N665" s="1">
        <f>financials[[#This Row],[Sales]]-financials[[#This Row],[Budget]]</f>
        <v>937.85579999999936</v>
      </c>
      <c r="O665" s="10">
        <f>(financials[[#This Row],[Sales]]-financials[[#This Row],[Budget]])/financials[[#This Row],[Budget]]</f>
        <v>9.8901098901098841E-2</v>
      </c>
      <c r="P665" s="6">
        <v>41913</v>
      </c>
      <c r="Q665" s="8">
        <v>10</v>
      </c>
      <c r="R665" s="5" t="s">
        <v>30</v>
      </c>
      <c r="S665" s="7" t="s">
        <v>15</v>
      </c>
    </row>
    <row r="666" spans="1:19" x14ac:dyDescent="0.25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1">
        <v>8941.0244000000002</v>
      </c>
      <c r="N666" s="1">
        <f>financials[[#This Row],[Sales]]-financials[[#This Row],[Budget]]</f>
        <v>1455.5156000000006</v>
      </c>
      <c r="O666" s="10">
        <f>(financials[[#This Row],[Sales]]-financials[[#This Row],[Budget]])/financials[[#This Row],[Budget]]</f>
        <v>0.16279069767441867</v>
      </c>
      <c r="P666" s="6">
        <v>41548</v>
      </c>
      <c r="Q666" s="8">
        <v>10</v>
      </c>
      <c r="R666" s="5" t="s">
        <v>30</v>
      </c>
      <c r="S666" s="7" t="s">
        <v>14</v>
      </c>
    </row>
    <row r="667" spans="1:19" x14ac:dyDescent="0.25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1">
        <v>25811.61</v>
      </c>
      <c r="N667" s="1">
        <f>financials[[#This Row],[Sales]]-financials[[#This Row],[Budget]]</f>
        <v>-1688.6100000000006</v>
      </c>
      <c r="O667" s="10">
        <f>(financials[[#This Row],[Sales]]-financials[[#This Row],[Budget]])/financials[[#This Row],[Budget]]</f>
        <v>-6.5420560747663573E-2</v>
      </c>
      <c r="P667" s="6">
        <v>41579</v>
      </c>
      <c r="Q667" s="8">
        <v>11</v>
      </c>
      <c r="R667" s="5" t="s">
        <v>31</v>
      </c>
      <c r="S667" s="7" t="s">
        <v>14</v>
      </c>
    </row>
    <row r="668" spans="1:19" x14ac:dyDescent="0.25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1">
        <v>120995.375</v>
      </c>
      <c r="N668" s="1">
        <f>financials[[#This Row],[Sales]]-financials[[#This Row],[Budget]]</f>
        <v>3742.125</v>
      </c>
      <c r="O668" s="10">
        <f>(financials[[#This Row],[Sales]]-financials[[#This Row],[Budget]])/financials[[#This Row],[Budget]]</f>
        <v>3.0927835051546393E-2</v>
      </c>
      <c r="P668" s="6">
        <v>41852</v>
      </c>
      <c r="Q668" s="8">
        <v>8</v>
      </c>
      <c r="R668" s="5" t="s">
        <v>28</v>
      </c>
      <c r="S668" s="7" t="s">
        <v>15</v>
      </c>
    </row>
    <row r="669" spans="1:19" x14ac:dyDescent="0.25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1">
        <v>273414.1875</v>
      </c>
      <c r="N669" s="1">
        <f>financials[[#This Row],[Sales]]-financials[[#This Row],[Budget]]</f>
        <v>20579.5625</v>
      </c>
      <c r="O669" s="10">
        <f>(financials[[#This Row],[Sales]]-financials[[#This Row],[Budget]])/financials[[#This Row],[Budget]]</f>
        <v>7.5268817204301078E-2</v>
      </c>
      <c r="P669" s="6">
        <v>41852</v>
      </c>
      <c r="Q669" s="8">
        <v>8</v>
      </c>
      <c r="R669" s="5" t="s">
        <v>28</v>
      </c>
      <c r="S669" s="7" t="s">
        <v>15</v>
      </c>
    </row>
    <row r="670" spans="1:19" x14ac:dyDescent="0.25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1">
        <v>97989.0625</v>
      </c>
      <c r="N670" s="1">
        <f>financials[[#This Row],[Sales]]-financials[[#This Row],[Budget]]</f>
        <v>17292.1875</v>
      </c>
      <c r="O670" s="10">
        <f>(financials[[#This Row],[Sales]]-financials[[#This Row],[Budget]])/financials[[#This Row],[Budget]]</f>
        <v>0.17647058823529413</v>
      </c>
      <c r="P670" s="6">
        <v>41913</v>
      </c>
      <c r="Q670" s="8">
        <v>10</v>
      </c>
      <c r="R670" s="5" t="s">
        <v>30</v>
      </c>
      <c r="S670" s="7" t="s">
        <v>15</v>
      </c>
    </row>
    <row r="671" spans="1:19" x14ac:dyDescent="0.25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1">
        <v>128091.6</v>
      </c>
      <c r="N671" s="1">
        <f>financials[[#This Row],[Sales]]-financials[[#This Row],[Budget]]</f>
        <v>11138.399999999994</v>
      </c>
      <c r="O671" s="10">
        <f>(financials[[#This Row],[Sales]]-financials[[#This Row],[Budget]])/financials[[#This Row],[Budget]]</f>
        <v>8.6956521739130391E-2</v>
      </c>
      <c r="P671" s="6">
        <v>41913</v>
      </c>
      <c r="Q671" s="8">
        <v>10</v>
      </c>
      <c r="R671" s="5" t="s">
        <v>30</v>
      </c>
      <c r="S671" s="7" t="s">
        <v>15</v>
      </c>
    </row>
    <row r="672" spans="1:19" x14ac:dyDescent="0.25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1">
        <v>18898.559999999998</v>
      </c>
      <c r="N672" s="1">
        <f>financials[[#This Row],[Sales]]-financials[[#This Row],[Budget]]</f>
        <v>787.44000000000233</v>
      </c>
      <c r="O672" s="10">
        <f>(financials[[#This Row],[Sales]]-financials[[#This Row],[Budget]])/financials[[#This Row],[Budget]]</f>
        <v>4.1666666666666796E-2</v>
      </c>
      <c r="P672" s="6">
        <v>41699</v>
      </c>
      <c r="Q672" s="8">
        <v>3</v>
      </c>
      <c r="R672" s="5" t="s">
        <v>23</v>
      </c>
      <c r="S672" s="7" t="s">
        <v>15</v>
      </c>
    </row>
    <row r="673" spans="1:19" x14ac:dyDescent="0.25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1">
        <v>18520.650000000001</v>
      </c>
      <c r="N673" s="1">
        <f>financials[[#This Row],[Sales]]-financials[[#This Row],[Budget]]</f>
        <v>2057.8499999999985</v>
      </c>
      <c r="O673" s="10">
        <f>(financials[[#This Row],[Sales]]-financials[[#This Row],[Budget]])/financials[[#This Row],[Budget]]</f>
        <v>0.11111111111111102</v>
      </c>
      <c r="P673" s="6">
        <v>41730</v>
      </c>
      <c r="Q673" s="8">
        <v>4</v>
      </c>
      <c r="R673" s="5" t="s">
        <v>24</v>
      </c>
      <c r="S673" s="7" t="s">
        <v>15</v>
      </c>
    </row>
    <row r="674" spans="1:19" x14ac:dyDescent="0.25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1">
        <v>13876.59</v>
      </c>
      <c r="N674" s="1">
        <f>financials[[#This Row],[Sales]]-financials[[#This Row],[Budget]]</f>
        <v>1206.6599999999999</v>
      </c>
      <c r="O674" s="10">
        <f>(financials[[#This Row],[Sales]]-financials[[#This Row],[Budget]])/financials[[#This Row],[Budget]]</f>
        <v>8.6956521739130418E-2</v>
      </c>
      <c r="P674" s="6">
        <v>41730</v>
      </c>
      <c r="Q674" s="8">
        <v>4</v>
      </c>
      <c r="R674" s="5" t="s">
        <v>24</v>
      </c>
      <c r="S674" s="7" t="s">
        <v>15</v>
      </c>
    </row>
    <row r="675" spans="1:19" x14ac:dyDescent="0.25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1">
        <v>754873.52500000002</v>
      </c>
      <c r="N675" s="1">
        <f>financials[[#This Row],[Sales]]-financials[[#This Row],[Budget]]</f>
        <v>93298.974999999977</v>
      </c>
      <c r="O675" s="10">
        <f>(financials[[#This Row],[Sales]]-financials[[#This Row],[Budget]])/financials[[#This Row],[Budget]]</f>
        <v>0.1235955056179775</v>
      </c>
      <c r="P675" s="6">
        <v>41760</v>
      </c>
      <c r="Q675" s="8">
        <v>5</v>
      </c>
      <c r="R675" s="5" t="s">
        <v>25</v>
      </c>
      <c r="S675" s="7" t="s">
        <v>15</v>
      </c>
    </row>
    <row r="676" spans="1:19" x14ac:dyDescent="0.25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1">
        <v>29038.252499999999</v>
      </c>
      <c r="N676" s="1">
        <f>financials[[#This Row],[Sales]]-financials[[#This Row],[Budget]]</f>
        <v>3588.9975000000013</v>
      </c>
      <c r="O676" s="10">
        <f>(financials[[#This Row],[Sales]]-financials[[#This Row],[Budget]])/financials[[#This Row],[Budget]]</f>
        <v>0.12359550561797758</v>
      </c>
      <c r="P676" s="6">
        <v>41852</v>
      </c>
      <c r="Q676" s="8">
        <v>8</v>
      </c>
      <c r="R676" s="5" t="s">
        <v>28</v>
      </c>
      <c r="S676" s="7" t="s">
        <v>15</v>
      </c>
    </row>
    <row r="677" spans="1:19" x14ac:dyDescent="0.25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1">
        <v>4902.12</v>
      </c>
      <c r="N677" s="1">
        <f>financials[[#This Row],[Sales]]-financials[[#This Row],[Budget]]</f>
        <v>-363.11999999999989</v>
      </c>
      <c r="O677" s="10">
        <f>(financials[[#This Row],[Sales]]-financials[[#This Row],[Budget]])/financials[[#This Row],[Budget]]</f>
        <v>-7.4074074074074056E-2</v>
      </c>
      <c r="P677" s="6">
        <v>41548</v>
      </c>
      <c r="Q677" s="8">
        <v>10</v>
      </c>
      <c r="R677" s="5" t="s">
        <v>30</v>
      </c>
      <c r="S677" s="7" t="s">
        <v>14</v>
      </c>
    </row>
    <row r="678" spans="1:19" x14ac:dyDescent="0.25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1">
        <v>108364.375</v>
      </c>
      <c r="N678" s="1">
        <f>financials[[#This Row],[Sales]]-financials[[#This Row],[Budget]]</f>
        <v>6916.875</v>
      </c>
      <c r="O678" s="10">
        <f>(financials[[#This Row],[Sales]]-financials[[#This Row],[Budget]])/financials[[#This Row],[Budget]]</f>
        <v>6.3829787234042548E-2</v>
      </c>
      <c r="P678" s="6">
        <v>41913</v>
      </c>
      <c r="Q678" s="8">
        <v>10</v>
      </c>
      <c r="R678" s="5" t="s">
        <v>30</v>
      </c>
      <c r="S678" s="7" t="s">
        <v>15</v>
      </c>
    </row>
    <row r="679" spans="1:19" x14ac:dyDescent="0.25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1">
        <v>16629.1875</v>
      </c>
      <c r="N679" s="1">
        <f>financials[[#This Row],[Sales]]-financials[[#This Row],[Budget]]</f>
        <v>-1647.9375</v>
      </c>
      <c r="O679" s="10">
        <f>(financials[[#This Row],[Sales]]-financials[[#This Row],[Budget]])/financials[[#This Row],[Budget]]</f>
        <v>-9.90990990990991E-2</v>
      </c>
      <c r="P679" s="6">
        <v>41913</v>
      </c>
      <c r="Q679" s="8">
        <v>10</v>
      </c>
      <c r="R679" s="5" t="s">
        <v>30</v>
      </c>
      <c r="S679" s="7" t="s">
        <v>15</v>
      </c>
    </row>
    <row r="680" spans="1:19" x14ac:dyDescent="0.25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1">
        <v>507520.125</v>
      </c>
      <c r="N680" s="1">
        <f>financials[[#This Row],[Sales]]-financials[[#This Row],[Budget]]</f>
        <v>89562.375</v>
      </c>
      <c r="O680" s="10">
        <f>(financials[[#This Row],[Sales]]-financials[[#This Row],[Budget]])/financials[[#This Row],[Budget]]</f>
        <v>0.17647058823529413</v>
      </c>
      <c r="P680" s="6">
        <v>41579</v>
      </c>
      <c r="Q680" s="8">
        <v>11</v>
      </c>
      <c r="R680" s="5" t="s">
        <v>31</v>
      </c>
      <c r="S680" s="7" t="s">
        <v>14</v>
      </c>
    </row>
    <row r="681" spans="1:19" x14ac:dyDescent="0.25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1">
        <v>563131.80000000005</v>
      </c>
      <c r="N681" s="1">
        <f>financials[[#This Row],[Sales]]-financials[[#This Row],[Budget]]</f>
        <v>76790.699999999953</v>
      </c>
      <c r="O681" s="10">
        <f>(financials[[#This Row],[Sales]]-financials[[#This Row],[Budget]])/financials[[#This Row],[Budget]]</f>
        <v>0.13636363636363627</v>
      </c>
      <c r="P681" s="6">
        <v>41579</v>
      </c>
      <c r="Q681" s="8">
        <v>11</v>
      </c>
      <c r="R681" s="5" t="s">
        <v>31</v>
      </c>
      <c r="S681" s="7" t="s">
        <v>14</v>
      </c>
    </row>
    <row r="682" spans="1:19" x14ac:dyDescent="0.25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1">
        <v>9043.1159999999982</v>
      </c>
      <c r="N682" s="1">
        <f>financials[[#This Row],[Sales]]-financials[[#This Row],[Budget]]</f>
        <v>279.68400000000111</v>
      </c>
      <c r="O682" s="10">
        <f>(financials[[#This Row],[Sales]]-financials[[#This Row],[Budget]])/financials[[#This Row],[Budget]]</f>
        <v>3.0927835051546521E-2</v>
      </c>
      <c r="P682" s="6">
        <v>41974</v>
      </c>
      <c r="Q682" s="8">
        <v>12</v>
      </c>
      <c r="R682" s="5" t="s">
        <v>32</v>
      </c>
      <c r="S682" s="7" t="s">
        <v>15</v>
      </c>
    </row>
    <row r="683" spans="1:19" x14ac:dyDescent="0.25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1">
        <v>5180.24</v>
      </c>
      <c r="N683" s="1">
        <f>financials[[#This Row],[Sales]]-financials[[#This Row],[Budget]]</f>
        <v>-199.23999999999978</v>
      </c>
      <c r="O683" s="10">
        <f>(financials[[#This Row],[Sales]]-financials[[#This Row],[Budget]])/financials[[#This Row],[Budget]]</f>
        <v>-3.8461538461538422E-2</v>
      </c>
      <c r="P683" s="6">
        <v>41974</v>
      </c>
      <c r="Q683" s="8">
        <v>12</v>
      </c>
      <c r="R683" s="5" t="s">
        <v>32</v>
      </c>
      <c r="S683" s="7" t="s">
        <v>15</v>
      </c>
    </row>
    <row r="684" spans="1:19" x14ac:dyDescent="0.25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1">
        <v>5253</v>
      </c>
      <c r="N684" s="1">
        <f>financials[[#This Row],[Sales]]-financials[[#This Row],[Budget]]</f>
        <v>-153</v>
      </c>
      <c r="O684" s="10">
        <f>(financials[[#This Row],[Sales]]-financials[[#This Row],[Budget]])/financials[[#This Row],[Budget]]</f>
        <v>-2.9126213592233011E-2</v>
      </c>
      <c r="P684" s="6">
        <v>41699</v>
      </c>
      <c r="Q684" s="8">
        <v>3</v>
      </c>
      <c r="R684" s="5" t="s">
        <v>23</v>
      </c>
      <c r="S684" s="7" t="s">
        <v>15</v>
      </c>
    </row>
    <row r="685" spans="1:19" x14ac:dyDescent="0.25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1">
        <v>39994.965000000004</v>
      </c>
      <c r="N685" s="1">
        <f>financials[[#This Row],[Sales]]-financials[[#This Row],[Budget]]</f>
        <v>-3963.4650000000038</v>
      </c>
      <c r="O685" s="10">
        <f>(financials[[#This Row],[Sales]]-financials[[#This Row],[Budget]])/financials[[#This Row],[Budget]]</f>
        <v>-9.9099099099099183E-2</v>
      </c>
      <c r="P685" s="6">
        <v>41760</v>
      </c>
      <c r="Q685" s="8">
        <v>5</v>
      </c>
      <c r="R685" s="5" t="s">
        <v>25</v>
      </c>
      <c r="S685" s="7" t="s">
        <v>15</v>
      </c>
    </row>
    <row r="686" spans="1:19" x14ac:dyDescent="0.25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1">
        <v>63399.375</v>
      </c>
      <c r="N686" s="1">
        <f>financials[[#This Row],[Sales]]-financials[[#This Row],[Budget]]</f>
        <v>7044.375</v>
      </c>
      <c r="O686" s="10">
        <f>(financials[[#This Row],[Sales]]-financials[[#This Row],[Budget]])/financials[[#This Row],[Budget]]</f>
        <v>0.1111111111111111</v>
      </c>
      <c r="P686" s="6">
        <v>41883</v>
      </c>
      <c r="Q686" s="8">
        <v>9</v>
      </c>
      <c r="R686" s="5" t="s">
        <v>29</v>
      </c>
      <c r="S686" s="7" t="s">
        <v>15</v>
      </c>
    </row>
    <row r="687" spans="1:19" x14ac:dyDescent="0.25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1">
        <v>722007.00000000012</v>
      </c>
      <c r="N687" s="1">
        <f>financials[[#This Row],[Sales]]-financials[[#This Row],[Budget]]</f>
        <v>-65637.000000000116</v>
      </c>
      <c r="O687" s="10">
        <f>(financials[[#This Row],[Sales]]-financials[[#This Row],[Budget]])/financials[[#This Row],[Budget]]</f>
        <v>-9.090909090909105E-2</v>
      </c>
      <c r="P687" s="6">
        <v>41579</v>
      </c>
      <c r="Q687" s="8">
        <v>11</v>
      </c>
      <c r="R687" s="5" t="s">
        <v>31</v>
      </c>
      <c r="S687" s="7" t="s">
        <v>14</v>
      </c>
    </row>
    <row r="688" spans="1:19" x14ac:dyDescent="0.25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1">
        <v>266808.625</v>
      </c>
      <c r="N688" s="1">
        <f>financials[[#This Row],[Sales]]-financials[[#This Row],[Budget]]</f>
        <v>-7771.125</v>
      </c>
      <c r="O688" s="10">
        <f>(financials[[#This Row],[Sales]]-financials[[#This Row],[Budget]])/financials[[#This Row],[Budget]]</f>
        <v>-2.9126213592233011E-2</v>
      </c>
      <c r="P688" s="6">
        <v>41609</v>
      </c>
      <c r="Q688" s="8">
        <v>12</v>
      </c>
      <c r="R688" s="5" t="s">
        <v>32</v>
      </c>
      <c r="S688" s="7" t="s">
        <v>14</v>
      </c>
    </row>
    <row r="689" spans="1:19" x14ac:dyDescent="0.25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1">
        <v>9975.3960000000006</v>
      </c>
      <c r="N689" s="1">
        <f>financials[[#This Row],[Sales]]-financials[[#This Row],[Budget]]</f>
        <v>-652.59600000000137</v>
      </c>
      <c r="O689" s="10">
        <f>(financials[[#This Row],[Sales]]-financials[[#This Row],[Budget]])/financials[[#This Row],[Budget]]</f>
        <v>-6.5420560747663684E-2</v>
      </c>
      <c r="P689" s="6">
        <v>41974</v>
      </c>
      <c r="Q689" s="8">
        <v>12</v>
      </c>
      <c r="R689" s="5" t="s">
        <v>32</v>
      </c>
      <c r="S689" s="7" t="s">
        <v>15</v>
      </c>
    </row>
    <row r="690" spans="1:19" x14ac:dyDescent="0.25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1">
        <v>13830.689999999999</v>
      </c>
      <c r="N690" s="1">
        <f>financials[[#This Row],[Sales]]-financials[[#This Row],[Budget]]</f>
        <v>882.81000000000131</v>
      </c>
      <c r="O690" s="10">
        <f>(financials[[#This Row],[Sales]]-financials[[#This Row],[Budget]])/financials[[#This Row],[Budget]]</f>
        <v>6.3829787234042659E-2</v>
      </c>
      <c r="P690" s="6">
        <v>41821</v>
      </c>
      <c r="Q690" s="8">
        <v>7</v>
      </c>
      <c r="R690" s="5" t="s">
        <v>27</v>
      </c>
      <c r="S690" s="7" t="s">
        <v>15</v>
      </c>
    </row>
    <row r="691" spans="1:19" x14ac:dyDescent="0.25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1">
        <v>6837.5700000000006</v>
      </c>
      <c r="N691" s="1">
        <f>financials[[#This Row],[Sales]]-financials[[#This Row],[Budget]]</f>
        <v>-564.57000000000062</v>
      </c>
      <c r="O691" s="10">
        <f>(financials[[#This Row],[Sales]]-financials[[#This Row],[Budget]])/financials[[#This Row],[Budget]]</f>
        <v>-8.2568807339449629E-2</v>
      </c>
      <c r="P691" s="6">
        <v>41821</v>
      </c>
      <c r="Q691" s="8">
        <v>7</v>
      </c>
      <c r="R691" s="5" t="s">
        <v>27</v>
      </c>
      <c r="S691" s="7" t="s">
        <v>15</v>
      </c>
    </row>
    <row r="692" spans="1:19" x14ac:dyDescent="0.25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1">
        <v>3903.54</v>
      </c>
      <c r="N692" s="1">
        <f>financials[[#This Row],[Sales]]-financials[[#This Row],[Budget]]</f>
        <v>635.46</v>
      </c>
      <c r="O692" s="10">
        <f>(financials[[#This Row],[Sales]]-financials[[#This Row],[Budget]])/financials[[#This Row],[Budget]]</f>
        <v>0.16279069767441862</v>
      </c>
      <c r="P692" s="6">
        <v>41548</v>
      </c>
      <c r="Q692" s="8">
        <v>10</v>
      </c>
      <c r="R692" s="5" t="s">
        <v>30</v>
      </c>
      <c r="S692" s="7" t="s">
        <v>14</v>
      </c>
    </row>
    <row r="693" spans="1:19" x14ac:dyDescent="0.25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1">
        <v>16928.8125</v>
      </c>
      <c r="N693" s="1">
        <f>financials[[#This Row],[Sales]]-financials[[#This Row],[Budget]]</f>
        <v>-1947.5625</v>
      </c>
      <c r="O693" s="10">
        <f>(financials[[#This Row],[Sales]]-financials[[#This Row],[Budget]])/financials[[#This Row],[Budget]]</f>
        <v>-0.11504424778761062</v>
      </c>
      <c r="P693" s="6">
        <v>41913</v>
      </c>
      <c r="Q693" s="8">
        <v>10</v>
      </c>
      <c r="R693" s="5" t="s">
        <v>30</v>
      </c>
      <c r="S693" s="7" t="s">
        <v>15</v>
      </c>
    </row>
    <row r="694" spans="1:19" x14ac:dyDescent="0.25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1">
        <v>345248.75</v>
      </c>
      <c r="N694" s="1">
        <f>financials[[#This Row],[Sales]]-financials[[#This Row],[Budget]]</f>
        <v>-31386.25</v>
      </c>
      <c r="O694" s="10">
        <f>(financials[[#This Row],[Sales]]-financials[[#This Row],[Budget]])/financials[[#This Row],[Budget]]</f>
        <v>-9.0909090909090912E-2</v>
      </c>
      <c r="P694" s="6">
        <v>41579</v>
      </c>
      <c r="Q694" s="8">
        <v>11</v>
      </c>
      <c r="R694" s="5" t="s">
        <v>31</v>
      </c>
      <c r="S694" s="7" t="s">
        <v>14</v>
      </c>
    </row>
    <row r="695" spans="1:19" x14ac:dyDescent="0.25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1">
        <v>65688</v>
      </c>
      <c r="N695" s="1">
        <f>financials[[#This Row],[Sales]]-financials[[#This Row],[Budget]]</f>
        <v>-7038</v>
      </c>
      <c r="O695" s="10">
        <f>(financials[[#This Row],[Sales]]-financials[[#This Row],[Budget]])/financials[[#This Row],[Budget]]</f>
        <v>-0.10714285714285714</v>
      </c>
      <c r="P695" s="6">
        <v>41944</v>
      </c>
      <c r="Q695" s="8">
        <v>11</v>
      </c>
      <c r="R695" s="5" t="s">
        <v>31</v>
      </c>
      <c r="S695" s="7" t="s">
        <v>15</v>
      </c>
    </row>
    <row r="696" spans="1:19" x14ac:dyDescent="0.25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1">
        <v>4881.38</v>
      </c>
      <c r="N696" s="1">
        <f>financials[[#This Row],[Sales]]-financials[[#This Row],[Budget]]</f>
        <v>99.619999999999891</v>
      </c>
      <c r="O696" s="10">
        <f>(financials[[#This Row],[Sales]]-financials[[#This Row],[Budget]])/financials[[#This Row],[Budget]]</f>
        <v>2.04081632653061E-2</v>
      </c>
      <c r="P696" s="6">
        <v>41974</v>
      </c>
      <c r="Q696" s="8">
        <v>12</v>
      </c>
      <c r="R696" s="5" t="s">
        <v>32</v>
      </c>
      <c r="S696" s="7" t="s">
        <v>15</v>
      </c>
    </row>
    <row r="697" spans="1:19" x14ac:dyDescent="0.25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1">
        <v>568012.5</v>
      </c>
      <c r="N697" s="1">
        <f>financials[[#This Row],[Sales]]-financials[[#This Row],[Budget]]</f>
        <v>63112.5</v>
      </c>
      <c r="O697" s="10">
        <f>(financials[[#This Row],[Sales]]-financials[[#This Row],[Budget]])/financials[[#This Row],[Budget]]</f>
        <v>0.1111111111111111</v>
      </c>
      <c r="P697" s="6">
        <v>41699</v>
      </c>
      <c r="Q697" s="8">
        <v>3</v>
      </c>
      <c r="R697" s="5" t="s">
        <v>23</v>
      </c>
      <c r="S697" s="7" t="s">
        <v>15</v>
      </c>
    </row>
    <row r="698" spans="1:19" x14ac:dyDescent="0.25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1">
        <v>160114.5</v>
      </c>
      <c r="N698" s="1">
        <f>financials[[#This Row],[Sales]]-financials[[#This Row],[Budget]]</f>
        <v>-20884.5</v>
      </c>
      <c r="O698" s="10">
        <f>(financials[[#This Row],[Sales]]-financials[[#This Row],[Budget]])/financials[[#This Row],[Budget]]</f>
        <v>-0.13043478260869565</v>
      </c>
      <c r="P698" s="6">
        <v>41913</v>
      </c>
      <c r="Q698" s="8">
        <v>10</v>
      </c>
      <c r="R698" s="5" t="s">
        <v>30</v>
      </c>
      <c r="S698" s="7" t="s">
        <v>15</v>
      </c>
    </row>
    <row r="699" spans="1:19" x14ac:dyDescent="0.25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1">
        <v>7488.4320000000007</v>
      </c>
      <c r="N699" s="1">
        <f>financials[[#This Row],[Sales]]-financials[[#This Row],[Budget]]</f>
        <v>651.16799999999967</v>
      </c>
      <c r="O699" s="10">
        <f>(financials[[#This Row],[Sales]]-financials[[#This Row],[Budget]])/financials[[#This Row],[Budget]]</f>
        <v>8.6956521739130377E-2</v>
      </c>
      <c r="P699" s="6">
        <v>41671</v>
      </c>
      <c r="Q699" s="8">
        <v>2</v>
      </c>
      <c r="R699" s="5" t="s">
        <v>22</v>
      </c>
      <c r="S699" s="7" t="s">
        <v>15</v>
      </c>
    </row>
    <row r="700" spans="1:19" x14ac:dyDescent="0.25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1">
        <v>4775.0535000000009</v>
      </c>
      <c r="N700" s="1">
        <f>financials[[#This Row],[Sales]]-financials[[#This Row],[Budget]]</f>
        <v>-473.20350000000053</v>
      </c>
      <c r="O700" s="10">
        <f>(financials[[#This Row],[Sales]]-financials[[#This Row],[Budget]])/financials[[#This Row],[Budget]]</f>
        <v>-9.9099099099099197E-2</v>
      </c>
      <c r="P700" s="6">
        <v>41730</v>
      </c>
      <c r="Q700" s="8">
        <v>4</v>
      </c>
      <c r="R700" s="5" t="s">
        <v>24</v>
      </c>
      <c r="S700" s="7" t="s">
        <v>15</v>
      </c>
    </row>
    <row r="701" spans="1:19" x14ac:dyDescent="0.25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1">
        <v>16394.868000000002</v>
      </c>
      <c r="N701" s="1">
        <f>financials[[#This Row],[Sales]]-financials[[#This Row],[Budget]]</f>
        <v>2026.3319999999985</v>
      </c>
      <c r="O701" s="10">
        <f>(financials[[#This Row],[Sales]]-financials[[#This Row],[Budget]])/financials[[#This Row],[Budget]]</f>
        <v>0.12359550561797743</v>
      </c>
      <c r="P701" s="6">
        <v>41760</v>
      </c>
      <c r="Q701" s="8">
        <v>5</v>
      </c>
      <c r="R701" s="5" t="s">
        <v>25</v>
      </c>
      <c r="S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6B53-CC3E-41E2-8F1B-4C59993E7300}">
  <dimension ref="A3:D9"/>
  <sheetViews>
    <sheetView workbookViewId="0">
      <selection activeCell="A8" sqref="A8"/>
    </sheetView>
  </sheetViews>
  <sheetFormatPr defaultRowHeight="15" x14ac:dyDescent="0.25"/>
  <cols>
    <col min="1" max="3" width="16.28515625" bestFit="1" customWidth="1"/>
    <col min="4" max="4" width="15.42578125" bestFit="1" customWidth="1"/>
  </cols>
  <sheetData>
    <row r="3" spans="1:4" x14ac:dyDescent="0.25">
      <c r="A3" s="11" t="s">
        <v>53</v>
      </c>
      <c r="B3" t="s">
        <v>55</v>
      </c>
      <c r="C3" t="s">
        <v>56</v>
      </c>
      <c r="D3" t="s">
        <v>57</v>
      </c>
    </row>
    <row r="4" spans="1:4" x14ac:dyDescent="0.25">
      <c r="A4" s="12" t="s">
        <v>11</v>
      </c>
      <c r="B4" s="13">
        <v>1800593.6399999994</v>
      </c>
      <c r="C4" s="13">
        <v>1819906.1484000001</v>
      </c>
      <c r="D4" s="13">
        <v>-19312.508400000006</v>
      </c>
    </row>
    <row r="5" spans="1:4" x14ac:dyDescent="0.25">
      <c r="A5" s="12" t="s">
        <v>9</v>
      </c>
      <c r="B5" s="13">
        <v>19611694.375</v>
      </c>
      <c r="C5" s="13">
        <v>19755084.200000003</v>
      </c>
      <c r="D5" s="13">
        <v>-143389.8250000003</v>
      </c>
    </row>
    <row r="6" spans="1:4" x14ac:dyDescent="0.25">
      <c r="A6" s="12" t="s">
        <v>10</v>
      </c>
      <c r="B6" s="13">
        <v>52504260.670000039</v>
      </c>
      <c r="C6" s="13">
        <v>52308922.694050014</v>
      </c>
      <c r="D6" s="13">
        <v>195337.97594999982</v>
      </c>
    </row>
    <row r="7" spans="1:4" x14ac:dyDescent="0.25">
      <c r="A7" s="12" t="s">
        <v>8</v>
      </c>
      <c r="B7" s="13">
        <v>2381883.0750000002</v>
      </c>
      <c r="C7" s="13">
        <v>2392758.5984999998</v>
      </c>
      <c r="D7" s="13">
        <v>-10875.523499999996</v>
      </c>
    </row>
    <row r="8" spans="1:4" x14ac:dyDescent="0.25">
      <c r="A8" s="12" t="s">
        <v>7</v>
      </c>
      <c r="B8" s="13">
        <v>42427918.5</v>
      </c>
      <c r="C8" s="13">
        <v>42311742.390000001</v>
      </c>
      <c r="D8" s="13">
        <v>116176.11000000089</v>
      </c>
    </row>
    <row r="9" spans="1:4" x14ac:dyDescent="0.25">
      <c r="A9" s="12" t="s">
        <v>54</v>
      </c>
      <c r="B9" s="13">
        <v>118726350.26000004</v>
      </c>
      <c r="C9" s="13">
        <v>118588414.03095001</v>
      </c>
      <c r="D9" s="13">
        <v>137936.22905000043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Data</vt:lpstr>
      <vt:lpstr>Pivot - Segment Sales &amp;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Mathias Thyssen</cp:lastModifiedBy>
  <dcterms:created xsi:type="dcterms:W3CDTF">2014-01-28T02:45:41Z</dcterms:created>
  <dcterms:modified xsi:type="dcterms:W3CDTF">2026-06-25T02:00:08Z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